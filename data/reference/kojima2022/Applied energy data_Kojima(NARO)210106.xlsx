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jima\Desktop\"/>
    </mc:Choice>
  </mc:AlternateContent>
  <xr:revisionPtr revIDLastSave="0" documentId="13_ncr:1_{1B34EE5E-5C7F-4504-95CB-A69A2FFB0A0B}" xr6:coauthVersionLast="45" xr6:coauthVersionMax="45" xr10:uidLastSave="{00000000-0000-0000-0000-000000000000}"/>
  <bookViews>
    <workbookView xWindow="28680" yWindow="-120" windowWidth="26685" windowHeight="16440" xr2:uid="{8FC03402-CCC9-42DE-BB32-562A8D2A88F5}"/>
  </bookViews>
  <sheets>
    <sheet name="Fig2" sheetId="7" r:id="rId1"/>
    <sheet name="Fig3" sheetId="4" r:id="rId2"/>
    <sheet name="Fig4" sheetId="9" r:id="rId3"/>
    <sheet name="Tab1" sheetId="5" r:id="rId4"/>
    <sheet name="Tab2" sheetId="2" r:id="rId5"/>
    <sheet name="Tab3" sheetId="3" r:id="rId6"/>
    <sheet name="Tab4" sheetId="1" r:id="rId7"/>
    <sheet name="Tab5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7" i="9" l="1"/>
  <c r="N17" i="9"/>
  <c r="M17" i="9"/>
  <c r="J17" i="9"/>
  <c r="L19" i="6" l="1"/>
  <c r="K19" i="6"/>
  <c r="J19" i="6"/>
  <c r="I19" i="6"/>
  <c r="L18" i="6"/>
  <c r="K18" i="6"/>
  <c r="J18" i="6"/>
  <c r="I18" i="6"/>
  <c r="L17" i="6"/>
  <c r="K17" i="6"/>
  <c r="J17" i="6"/>
  <c r="I17" i="6"/>
  <c r="Y20" i="6" l="1"/>
  <c r="X18" i="6"/>
  <c r="W19" i="6"/>
  <c r="W20" i="6"/>
  <c r="W18" i="6"/>
  <c r="X20" i="6" l="1"/>
  <c r="X19" i="6"/>
  <c r="Y18" i="6"/>
  <c r="Y19" i="6"/>
  <c r="X8" i="3" l="1"/>
  <c r="W8" i="3"/>
</calcChain>
</file>

<file path=xl/sharedStrings.xml><?xml version="1.0" encoding="utf-8"?>
<sst xmlns="http://schemas.openxmlformats.org/spreadsheetml/2006/main" count="261" uniqueCount="164">
  <si>
    <t xml:space="preserve">Calving
number </t>
    <phoneticPr fontId="2"/>
  </si>
  <si>
    <t>Milking 
days</t>
    <phoneticPr fontId="2"/>
  </si>
  <si>
    <t>Milk
yield</t>
    <phoneticPr fontId="2"/>
  </si>
  <si>
    <t>Fat</t>
    <phoneticPr fontId="2"/>
  </si>
  <si>
    <t>Protein</t>
    <phoneticPr fontId="2"/>
  </si>
  <si>
    <t>-</t>
    <phoneticPr fontId="2"/>
  </si>
  <si>
    <t>Cw</t>
    <phoneticPr fontId="2"/>
  </si>
  <si>
    <t>Ww</t>
    <phoneticPr fontId="2"/>
  </si>
  <si>
    <t>Cw</t>
  </si>
  <si>
    <t>Ww</t>
  </si>
  <si>
    <t>DMI</t>
    <phoneticPr fontId="2"/>
  </si>
  <si>
    <t>TDN</t>
  </si>
  <si>
    <t>CP</t>
  </si>
  <si>
    <t>NDF</t>
  </si>
  <si>
    <t>ADF</t>
  </si>
  <si>
    <t>°C</t>
    <phoneticPr fontId="2"/>
  </si>
  <si>
    <t>°C</t>
  </si>
  <si>
    <t>Date/Time</t>
  </si>
  <si>
    <t>Exhaust Temp.</t>
    <phoneticPr fontId="2"/>
  </si>
  <si>
    <t>Water Temp.</t>
    <phoneticPr fontId="2"/>
  </si>
  <si>
    <t>Ambient Temp.</t>
    <phoneticPr fontId="2"/>
  </si>
  <si>
    <t>Water supply rate</t>
    <phoneticPr fontId="2"/>
  </si>
  <si>
    <t xml:space="preserve">Specification of </t>
  </si>
  <si>
    <t>heat exchanger</t>
  </si>
  <si>
    <t>Type</t>
  </si>
  <si>
    <t>Plate-fin</t>
  </si>
  <si>
    <t>Material</t>
  </si>
  <si>
    <t>SUS304</t>
  </si>
  <si>
    <t>Size</t>
  </si>
  <si>
    <t>500×500×360</t>
  </si>
  <si>
    <t>mm</t>
  </si>
  <si>
    <t>Volume</t>
  </si>
  <si>
    <t>L</t>
  </si>
  <si>
    <t>Heat exchange area</t>
  </si>
  <si>
    <t>Heating surface density</t>
  </si>
  <si>
    <t>Number of heating surfaces</t>
  </si>
  <si>
    <t>Plates</t>
  </si>
  <si>
    <t>Weight</t>
  </si>
  <si>
    <t>kg</t>
  </si>
  <si>
    <t>NDF</t>
    <phoneticPr fontId="2"/>
  </si>
  <si>
    <t>ADF</t>
    <phoneticPr fontId="2"/>
  </si>
  <si>
    <t>MUN</t>
    <phoneticPr fontId="2"/>
  </si>
  <si>
    <t> delivery date</t>
    <phoneticPr fontId="2"/>
  </si>
  <si>
    <t>Delivered cows</t>
    <phoneticPr fontId="2"/>
  </si>
  <si>
    <t>SnF</t>
    <phoneticPr fontId="2"/>
  </si>
  <si>
    <t xml:space="preserve"> Primiparous cows</t>
    <phoneticPr fontId="2"/>
  </si>
  <si>
    <t>No.</t>
    <phoneticPr fontId="2"/>
  </si>
  <si>
    <t>Feeding mass</t>
    <phoneticPr fontId="2"/>
  </si>
  <si>
    <t>Year</t>
    <phoneticPr fontId="2"/>
  </si>
  <si>
    <t>Feed component</t>
    <phoneticPr fontId="2"/>
  </si>
  <si>
    <r>
      <t>m</t>
    </r>
    <r>
      <rPr>
        <vertAlign val="superscript"/>
        <sz val="12"/>
        <color rgb="FF000000"/>
        <rFont val="Times New Roman"/>
        <family val="1"/>
      </rPr>
      <t>2</t>
    </r>
  </si>
  <si>
    <r>
      <t>m</t>
    </r>
    <r>
      <rPr>
        <vertAlign val="superscript"/>
        <sz val="12"/>
        <color rgb="FF000000"/>
        <rFont val="Times New Roman"/>
        <family val="1"/>
      </rPr>
      <t xml:space="preserve">2 </t>
    </r>
    <r>
      <rPr>
        <sz val="12"/>
        <color rgb="FF000000"/>
        <rFont val="Times New Roman"/>
        <family val="1"/>
      </rPr>
      <t>m</t>
    </r>
    <r>
      <rPr>
        <vertAlign val="superscript"/>
        <sz val="12"/>
        <color rgb="FF000000"/>
        <rFont val="Times New Roman"/>
        <family val="1"/>
      </rPr>
      <t>-3</t>
    </r>
  </si>
  <si>
    <r>
      <t>kg d</t>
    </r>
    <r>
      <rPr>
        <vertAlign val="superscript"/>
        <sz val="9"/>
        <color theme="1"/>
        <rFont val="Times New Roman"/>
        <family val="1"/>
      </rPr>
      <t>-1</t>
    </r>
    <r>
      <rPr>
        <sz val="9"/>
        <color theme="1"/>
        <rFont val="Times New Roman"/>
        <family val="1"/>
      </rPr>
      <t xml:space="preserve"> head</t>
    </r>
    <r>
      <rPr>
        <vertAlign val="superscript"/>
        <sz val="9"/>
        <color theme="1"/>
        <rFont val="Times New Roman"/>
        <family val="1"/>
      </rPr>
      <t>-1</t>
    </r>
    <phoneticPr fontId="2"/>
  </si>
  <si>
    <t>ex-IN</t>
  </si>
  <si>
    <t>TANK</t>
  </si>
  <si>
    <t>exhaust</t>
    <phoneticPr fontId="2"/>
  </si>
  <si>
    <t>warmed water</t>
    <phoneticPr fontId="2"/>
  </si>
  <si>
    <t>2017-2018</t>
    <phoneticPr fontId="2"/>
  </si>
  <si>
    <t>2018-2019</t>
    <phoneticPr fontId="2"/>
  </si>
  <si>
    <t>Jan</t>
  </si>
  <si>
    <t>Jan</t>
    <phoneticPr fontId="2"/>
  </si>
  <si>
    <t>Feb</t>
  </si>
  <si>
    <t>Feb</t>
    <phoneticPr fontId="2"/>
  </si>
  <si>
    <t>Mar</t>
  </si>
  <si>
    <t>Nov</t>
  </si>
  <si>
    <t>Dec</t>
  </si>
  <si>
    <t>2013-2014</t>
    <phoneticPr fontId="2"/>
  </si>
  <si>
    <t>2014-2015</t>
    <phoneticPr fontId="2"/>
  </si>
  <si>
    <t>month</t>
    <phoneticPr fontId="2"/>
  </si>
  <si>
    <t>year</t>
    <phoneticPr fontId="2"/>
  </si>
  <si>
    <t>ambient</t>
    <phoneticPr fontId="2"/>
  </si>
  <si>
    <t>water supply</t>
    <phoneticPr fontId="2"/>
  </si>
  <si>
    <t>Nov</t>
    <phoneticPr fontId="2"/>
  </si>
  <si>
    <t>Dec</t>
    <phoneticPr fontId="2"/>
  </si>
  <si>
    <t>-</t>
  </si>
  <si>
    <t>ave.</t>
    <phoneticPr fontId="2"/>
  </si>
  <si>
    <t>from the database of Japan Meteorological Agency</t>
    <phoneticPr fontId="2"/>
  </si>
  <si>
    <t>https://www.data.jma.go.jp/obd/stats/etrn/index.php</t>
  </si>
  <si>
    <t>loss in the cow house</t>
    <phoneticPr fontId="2"/>
  </si>
  <si>
    <t>got in heat exchange porcess</t>
    <phoneticPr fontId="2"/>
  </si>
  <si>
    <t>Brought by Fresh water</t>
    <phoneticPr fontId="2"/>
  </si>
  <si>
    <t>Outlet of tank</t>
    <phoneticPr fontId="2"/>
  </si>
  <si>
    <t>Inlet of HE</t>
    <phoneticPr fontId="2"/>
  </si>
  <si>
    <t>Water supply</t>
    <phoneticPr fontId="2"/>
  </si>
  <si>
    <t>Water flow rate</t>
    <phoneticPr fontId="2"/>
  </si>
  <si>
    <t>raw water</t>
    <phoneticPr fontId="2"/>
  </si>
  <si>
    <t xml:space="preserve">tank </t>
    <phoneticPr fontId="2"/>
  </si>
  <si>
    <t>Outlet of HE</t>
    <phoneticPr fontId="2"/>
  </si>
  <si>
    <t xml:space="preserve">temperature </t>
    <phoneticPr fontId="2"/>
  </si>
  <si>
    <r>
      <t>L d</t>
    </r>
    <r>
      <rPr>
        <vertAlign val="superscript"/>
        <sz val="11"/>
        <color theme="1"/>
        <rFont val="ＭＳ Ｐゴシック"/>
        <family val="3"/>
        <charset val="128"/>
      </rPr>
      <t>-1</t>
    </r>
    <phoneticPr fontId="2"/>
  </si>
  <si>
    <r>
      <t>m</t>
    </r>
    <r>
      <rPr>
        <vertAlign val="superscript"/>
        <sz val="11"/>
        <color theme="1"/>
        <rFont val="ＭＳ Ｐゴシック"/>
        <family val="3"/>
        <charset val="128"/>
      </rPr>
      <t>3</t>
    </r>
    <r>
      <rPr>
        <sz val="11"/>
        <color theme="1"/>
        <rFont val="ＭＳ Ｐゴシック"/>
        <family val="2"/>
        <charset val="128"/>
      </rPr>
      <t xml:space="preserve"> d</t>
    </r>
    <r>
      <rPr>
        <vertAlign val="superscript"/>
        <sz val="11"/>
        <color theme="1"/>
        <rFont val="ＭＳ Ｐゴシック"/>
        <family val="3"/>
        <charset val="128"/>
      </rPr>
      <t>-1</t>
    </r>
    <phoneticPr fontId="2"/>
  </si>
  <si>
    <t>average</t>
    <phoneticPr fontId="2"/>
  </si>
  <si>
    <t>Heat quantity</t>
    <phoneticPr fontId="2"/>
  </si>
  <si>
    <r>
      <t>MJ d</t>
    </r>
    <r>
      <rPr>
        <vertAlign val="superscript"/>
        <sz val="11"/>
        <color theme="1"/>
        <rFont val="ＭＳ Ｐゴシック"/>
        <family val="3"/>
        <charset val="128"/>
      </rPr>
      <t>-1</t>
    </r>
    <phoneticPr fontId="2"/>
  </si>
  <si>
    <t>MAX</t>
    <phoneticPr fontId="2"/>
  </si>
  <si>
    <t>MIN</t>
    <phoneticPr fontId="2"/>
  </si>
  <si>
    <t>GJ/d</t>
    <phoneticPr fontId="17"/>
  </si>
  <si>
    <t>kW</t>
    <phoneticPr fontId="17"/>
  </si>
  <si>
    <t>HE IN</t>
    <phoneticPr fontId="17"/>
  </si>
  <si>
    <t>HE OUT</t>
    <phoneticPr fontId="17"/>
  </si>
  <si>
    <t>Heat of exhaust</t>
    <phoneticPr fontId="2"/>
  </si>
  <si>
    <t>Heat of
water</t>
    <phoneticPr fontId="2"/>
  </si>
  <si>
    <r>
      <rPr>
        <sz val="11"/>
        <color theme="1"/>
        <rFont val="ＭＳ Ｐゴシック"/>
        <family val="2"/>
        <charset val="128"/>
      </rPr>
      <t>ＴＤＮ</t>
    </r>
    <phoneticPr fontId="2"/>
  </si>
  <si>
    <r>
      <rPr>
        <sz val="11"/>
        <color theme="1"/>
        <rFont val="ＭＳ Ｐゴシック"/>
        <family val="2"/>
        <charset val="128"/>
      </rPr>
      <t>ＣＰ</t>
    </r>
    <phoneticPr fontId="2"/>
  </si>
  <si>
    <t>exhaust in</t>
    <phoneticPr fontId="2"/>
  </si>
  <si>
    <t>exhaust out</t>
    <phoneticPr fontId="2"/>
  </si>
  <si>
    <t>fresh water</t>
    <phoneticPr fontId="2"/>
  </si>
  <si>
    <t>supplied water for cows</t>
    <phoneticPr fontId="2"/>
  </si>
  <si>
    <t>外気温度</t>
    <rPh sb="0" eb="2">
      <t>ガイキ</t>
    </rPh>
    <rPh sb="2" eb="4">
      <t>オンド</t>
    </rPh>
    <phoneticPr fontId="2"/>
  </si>
  <si>
    <t>warmed water after HE</t>
    <phoneticPr fontId="2"/>
  </si>
  <si>
    <t>manure input</t>
    <phoneticPr fontId="2"/>
  </si>
  <si>
    <t>top of facility</t>
    <phoneticPr fontId="2"/>
  </si>
  <si>
    <t>middle of facility</t>
    <phoneticPr fontId="2"/>
  </si>
  <si>
    <t>bottom of facility</t>
    <phoneticPr fontId="2"/>
  </si>
  <si>
    <r>
      <t>EVCF operation</t>
    </r>
    <r>
      <rPr>
        <vertAlign val="superscript"/>
        <sz val="11"/>
        <color rgb="FF000000"/>
        <rFont val="Times New Roman"/>
        <family val="1"/>
      </rPr>
      <t>*</t>
    </r>
  </si>
  <si>
    <t>Inlet air</t>
  </si>
  <si>
    <t>heat generation by OMD</t>
  </si>
  <si>
    <t>Exhaust</t>
  </si>
  <si>
    <t>gas</t>
  </si>
  <si>
    <t>HE IN</t>
  </si>
  <si>
    <t>HE OUT</t>
  </si>
  <si>
    <t>loss by heat</t>
  </si>
  <si>
    <t>exchange process</t>
  </si>
  <si>
    <t>Water</t>
  </si>
  <si>
    <t>got by heat</t>
  </si>
  <si>
    <t>*Only EVCF operation shows consumed electric power</t>
  </si>
  <si>
    <t>Maximum</t>
  </si>
  <si>
    <t>Minimum</t>
  </si>
  <si>
    <t>Average</t>
  </si>
  <si>
    <r>
      <t>MJ d</t>
    </r>
    <r>
      <rPr>
        <vertAlign val="superscript"/>
        <sz val="11"/>
        <color rgb="FF000000"/>
        <rFont val="Times New Roman"/>
        <family val="1"/>
      </rPr>
      <t>-1</t>
    </r>
  </si>
  <si>
    <r>
      <t>kW</t>
    </r>
    <r>
      <rPr>
        <vertAlign val="subscript"/>
        <sz val="11"/>
        <color rgb="FF000000"/>
        <rFont val="Times New Roman"/>
        <family val="1"/>
      </rPr>
      <t>eq.</t>
    </r>
  </si>
  <si>
    <t>brought by</t>
  </si>
  <si>
    <t>fresh water</t>
  </si>
  <si>
    <t>loss in the cow house</t>
  </si>
  <si>
    <t>Temperature</t>
  </si>
  <si>
    <t>Mass of</t>
  </si>
  <si>
    <t>supplying water</t>
  </si>
  <si>
    <t>Warmed water</t>
  </si>
  <si>
    <t>Ambient</t>
  </si>
  <si>
    <r>
      <t>m</t>
    </r>
    <r>
      <rPr>
        <vertAlign val="superscript"/>
        <sz val="11"/>
        <color rgb="FF000000"/>
        <rFont val="Times New Roman"/>
        <family val="1"/>
      </rPr>
      <t xml:space="preserve">3 </t>
    </r>
    <r>
      <rPr>
        <sz val="11"/>
        <color rgb="FF000000"/>
        <rFont val="Times New Roman"/>
        <family val="1"/>
      </rPr>
      <t>d</t>
    </r>
    <r>
      <rPr>
        <vertAlign val="superscript"/>
        <sz val="11"/>
        <color rgb="FF000000"/>
        <rFont val="Times New Roman"/>
        <family val="1"/>
      </rPr>
      <t>-1</t>
    </r>
    <r>
      <rPr>
        <sz val="11"/>
        <color rgb="FF000000"/>
        <rFont val="Times New Roman"/>
        <family val="1"/>
      </rPr>
      <t xml:space="preserve"> herd</t>
    </r>
    <r>
      <rPr>
        <vertAlign val="superscript"/>
        <sz val="11"/>
        <color rgb="FF000000"/>
        <rFont val="Times New Roman"/>
        <family val="1"/>
      </rPr>
      <t>-1*</t>
    </r>
  </si>
  <si>
    <t>2013.11-2014.03</t>
  </si>
  <si>
    <t>2015.11-2016.03</t>
  </si>
  <si>
    <t>2017.11-2018.03</t>
  </si>
  <si>
    <t>2018.11-2019.03</t>
  </si>
  <si>
    <t>*herd: about 150 heads of cows (of these about 100 heads of milking cows)</t>
  </si>
  <si>
    <t>n</t>
  </si>
  <si>
    <t>Calving</t>
  </si>
  <si>
    <t xml:space="preserve">number </t>
  </si>
  <si>
    <t>Milking</t>
  </si>
  <si>
    <t>days</t>
  </si>
  <si>
    <t>Milk</t>
  </si>
  <si>
    <t>yield</t>
  </si>
  <si>
    <t>Fat</t>
  </si>
  <si>
    <t>Protein</t>
  </si>
  <si>
    <r>
      <t>SnF</t>
    </r>
    <r>
      <rPr>
        <vertAlign val="superscript"/>
        <sz val="11"/>
        <color rgb="FF000000"/>
        <rFont val="Times New Roman"/>
        <family val="1"/>
      </rPr>
      <t>**</t>
    </r>
  </si>
  <si>
    <r>
      <t>MUN</t>
    </r>
    <r>
      <rPr>
        <vertAlign val="superscript"/>
        <sz val="11"/>
        <color rgb="FF000000"/>
        <rFont val="Times New Roman"/>
        <family val="1"/>
      </rPr>
      <t>**</t>
    </r>
  </si>
  <si>
    <t>d</t>
  </si>
  <si>
    <r>
      <t>L d</t>
    </r>
    <r>
      <rPr>
        <vertAlign val="superscript"/>
        <sz val="11"/>
        <color rgb="FF000000"/>
        <rFont val="Times New Roman"/>
        <family val="1"/>
      </rPr>
      <t>-1</t>
    </r>
  </si>
  <si>
    <t>%</t>
  </si>
  <si>
    <r>
      <t>PC</t>
    </r>
    <r>
      <rPr>
        <vertAlign val="superscript"/>
        <sz val="11"/>
        <color rgb="FF000000"/>
        <rFont val="Times New Roman"/>
        <family val="1"/>
      </rPr>
      <t>*</t>
    </r>
  </si>
  <si>
    <t>P value</t>
  </si>
  <si>
    <t>&lt;0.01</t>
  </si>
  <si>
    <r>
      <t>DC</t>
    </r>
    <r>
      <rPr>
        <vertAlign val="superscript"/>
        <sz val="11"/>
        <color rgb="FF000000"/>
        <rFont val="Times New Roman"/>
        <family val="1"/>
      </rPr>
      <t>*</t>
    </r>
  </si>
  <si>
    <r>
      <t xml:space="preserve">The statistical difference was determined by two-sided Student's </t>
    </r>
    <r>
      <rPr>
        <i/>
        <sz val="8"/>
        <color rgb="FF000000"/>
        <rFont val="Times New Roman"/>
        <family val="1"/>
      </rPr>
      <t>t</t>
    </r>
    <r>
      <rPr>
        <sz val="8"/>
        <color rgb="FF000000"/>
        <rFont val="Times New Roman"/>
        <family val="1"/>
      </rPr>
      <t xml:space="preserve"> test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</si>
</sst>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8" formatCode="yyyy/m/d\ h:mm;@"/>
    <numFmt numFmtId="179" formatCode="0_);[Red]\(0\)"/>
    <numFmt numFmtId="180" formatCode="0.0_);[Red]\(0.0\)"/>
    <numFmt numFmtId="181" formatCode="0.0_ "/>
    <numFmt numFmtId="182" formatCode="[$-409]d\-mmm;@"/>
  </numFmts>
  <fonts count="27" x14ac:knownFonts="1">
    <font>
      <sz val="11"/>
      <color theme="1"/>
      <name val="ＭＳ Ｐゴシック"/>
      <family val="2"/>
      <charset val="128"/>
    </font>
    <font>
      <sz val="11"/>
      <color theme="1"/>
      <name val="Times New Roman"/>
      <family val="1"/>
    </font>
    <font>
      <sz val="6"/>
      <name val="ＭＳ Ｐゴシック"/>
      <family val="2"/>
      <charset val="128"/>
    </font>
    <font>
      <sz val="10"/>
      <color rgb="FF000000"/>
      <name val="Times New Roman"/>
      <family val="1"/>
    </font>
    <font>
      <sz val="8"/>
      <color theme="1"/>
      <name val="Times New Roman"/>
      <family val="1"/>
    </font>
    <font>
      <sz val="7"/>
      <color theme="1"/>
      <name val="Times New Roman"/>
      <family val="1"/>
    </font>
    <font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sz val="9"/>
      <color theme="1"/>
      <name val="Times New Roman"/>
      <family val="1"/>
    </font>
    <font>
      <vertAlign val="superscript"/>
      <sz val="9"/>
      <color theme="1"/>
      <name val="Times New Roman"/>
      <family val="1"/>
    </font>
    <font>
      <sz val="12"/>
      <color rgb="FF333333"/>
      <name val="Times New Roman"/>
      <family val="1"/>
    </font>
    <font>
      <b/>
      <sz val="11"/>
      <color theme="1"/>
      <name val="ＭＳ Ｐゴシック"/>
      <family val="3"/>
      <charset val="128"/>
    </font>
    <font>
      <vertAlign val="superscript"/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2"/>
      <charset val="128"/>
    </font>
    <font>
      <sz val="10.5"/>
      <color theme="1"/>
      <name val="游明朝"/>
      <family val="1"/>
      <charset val="128"/>
    </font>
    <font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sz val="11"/>
      <color rgb="FF000000"/>
      <name val="ＭＳ Ｐゴシック"/>
      <family val="3"/>
      <charset val="128"/>
    </font>
    <font>
      <vertAlign val="subscript"/>
      <sz val="11"/>
      <color rgb="FF000000"/>
      <name val="Times New Roman"/>
      <family val="1"/>
    </font>
    <font>
      <sz val="7"/>
      <color rgb="FF000000"/>
      <name val="Times New Roman"/>
      <family val="1"/>
    </font>
    <font>
      <sz val="8"/>
      <color rgb="FF000000"/>
      <name val="Times New Roman"/>
      <family val="1"/>
    </font>
    <font>
      <i/>
      <sz val="8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double">
        <color indexed="64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auto="1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uble">
        <color rgb="FF000000"/>
      </top>
      <bottom/>
      <diagonal/>
    </border>
    <border>
      <left/>
      <right style="dotted">
        <color indexed="64"/>
      </right>
      <top style="dotted">
        <color auto="1"/>
      </top>
      <bottom/>
      <diagonal/>
    </border>
    <border>
      <left/>
      <right style="dotted">
        <color indexed="64"/>
      </right>
      <top/>
      <bottom style="dotted">
        <color auto="1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9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176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  <xf numFmtId="2" fontId="1" fillId="0" borderId="0" xfId="0" applyNumberFormat="1" applyFont="1">
      <alignment vertical="center"/>
    </xf>
    <xf numFmtId="0" fontId="1" fillId="0" borderId="3" xfId="0" applyFont="1" applyBorder="1">
      <alignment vertical="center"/>
    </xf>
    <xf numFmtId="176" fontId="1" fillId="0" borderId="2" xfId="0" applyNumberFormat="1" applyFont="1" applyBorder="1">
      <alignment vertical="center"/>
    </xf>
    <xf numFmtId="178" fontId="0" fillId="0" borderId="0" xfId="0" applyNumberFormat="1">
      <alignment vertical="center"/>
    </xf>
    <xf numFmtId="176" fontId="0" fillId="0" borderId="0" xfId="0" applyNumberFormat="1">
      <alignment vertical="center"/>
    </xf>
    <xf numFmtId="18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10" xfId="0" applyBorder="1">
      <alignment vertical="center"/>
    </xf>
    <xf numFmtId="1" fontId="0" fillId="0" borderId="0" xfId="0" applyNumberFormat="1">
      <alignment vertical="center"/>
    </xf>
    <xf numFmtId="0" fontId="8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0" fillId="3" borderId="5" xfId="0" applyFill="1" applyBorder="1">
      <alignment vertical="center"/>
    </xf>
    <xf numFmtId="0" fontId="0" fillId="3" borderId="8" xfId="0" applyFill="1" applyBorder="1">
      <alignment vertical="center"/>
    </xf>
    <xf numFmtId="0" fontId="0" fillId="0" borderId="9" xfId="0" applyBorder="1">
      <alignment vertical="center"/>
    </xf>
    <xf numFmtId="0" fontId="1" fillId="0" borderId="0" xfId="0" applyFont="1" applyAlignment="1">
      <alignment vertical="center"/>
    </xf>
    <xf numFmtId="0" fontId="0" fillId="0" borderId="0" xfId="0" applyFill="1" applyBorder="1">
      <alignment vertical="center"/>
    </xf>
    <xf numFmtId="1" fontId="0" fillId="0" borderId="0" xfId="0" applyNumberFormat="1" applyFill="1" applyBorder="1">
      <alignment vertical="center"/>
    </xf>
    <xf numFmtId="0" fontId="7" fillId="0" borderId="0" xfId="0" applyFont="1" applyFill="1" applyBorder="1">
      <alignment vertical="center"/>
    </xf>
    <xf numFmtId="0" fontId="0" fillId="0" borderId="0" xfId="0" applyBorder="1">
      <alignment vertical="center"/>
    </xf>
    <xf numFmtId="1" fontId="0" fillId="0" borderId="0" xfId="0" applyNumberFormat="1" applyBorder="1">
      <alignment vertical="center"/>
    </xf>
    <xf numFmtId="1" fontId="0" fillId="0" borderId="10" xfId="0" applyNumberFormat="1" applyBorder="1">
      <alignment vertical="center"/>
    </xf>
    <xf numFmtId="0" fontId="7" fillId="0" borderId="12" xfId="0" applyFont="1" applyBorder="1" applyAlignment="1">
      <alignment horizontal="center" vertical="center"/>
    </xf>
    <xf numFmtId="0" fontId="0" fillId="0" borderId="10" xfId="0" applyFill="1" applyBorder="1">
      <alignment vertical="center"/>
    </xf>
    <xf numFmtId="1" fontId="0" fillId="0" borderId="10" xfId="0" applyNumberFormat="1" applyFill="1" applyBorder="1">
      <alignment vertical="center"/>
    </xf>
    <xf numFmtId="0" fontId="7" fillId="0" borderId="10" xfId="0" applyFont="1" applyFill="1" applyBorder="1">
      <alignment vertical="center"/>
    </xf>
    <xf numFmtId="0" fontId="1" fillId="0" borderId="11" xfId="0" applyFont="1" applyFill="1" applyBorder="1" applyAlignment="1">
      <alignment horizontal="center" vertical="center"/>
    </xf>
    <xf numFmtId="1" fontId="7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0" fontId="10" fillId="0" borderId="6" xfId="0" applyFont="1" applyBorder="1" applyAlignment="1">
      <alignment horizontal="left" vertical="center" wrapText="1" readingOrder="1"/>
    </xf>
    <xf numFmtId="0" fontId="10" fillId="0" borderId="0" xfId="0" applyFont="1" applyAlignment="1">
      <alignment horizontal="left" vertical="center" wrapText="1" readingOrder="1"/>
    </xf>
    <xf numFmtId="0" fontId="10" fillId="0" borderId="7" xfId="0" applyFont="1" applyBorder="1" applyAlignment="1">
      <alignment horizontal="left" vertical="center" wrapText="1" readingOrder="1"/>
    </xf>
    <xf numFmtId="0" fontId="12" fillId="0" borderId="2" xfId="0" applyFont="1" applyBorder="1" applyAlignment="1">
      <alignment horizontal="center" vertical="center"/>
    </xf>
    <xf numFmtId="0" fontId="1" fillId="0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6" borderId="0" xfId="0" applyFont="1" applyFill="1">
      <alignment vertical="center"/>
    </xf>
    <xf numFmtId="14" fontId="1" fillId="0" borderId="0" xfId="0" applyNumberFormat="1" applyFont="1">
      <alignment vertical="center"/>
    </xf>
    <xf numFmtId="0" fontId="14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 wrapText="1" readingOrder="1"/>
    </xf>
    <xf numFmtId="0" fontId="15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2" xfId="0" applyBorder="1">
      <alignment vertical="center"/>
    </xf>
    <xf numFmtId="14" fontId="0" fillId="0" borderId="0" xfId="0" applyNumberFormat="1" applyBorder="1">
      <alignment vertical="center"/>
    </xf>
    <xf numFmtId="176" fontId="0" fillId="0" borderId="0" xfId="0" applyNumberFormat="1" applyBorder="1">
      <alignment vertical="center"/>
    </xf>
    <xf numFmtId="14" fontId="0" fillId="0" borderId="2" xfId="0" applyNumberFormat="1" applyBorder="1">
      <alignment vertical="center"/>
    </xf>
    <xf numFmtId="176" fontId="0" fillId="0" borderId="2" xfId="0" applyNumberFormat="1" applyBorder="1">
      <alignment vertical="center"/>
    </xf>
    <xf numFmtId="1" fontId="0" fillId="0" borderId="2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1" fontId="0" fillId="2" borderId="0" xfId="0" applyNumberFormat="1" applyFill="1">
      <alignment vertical="center"/>
    </xf>
    <xf numFmtId="181" fontId="0" fillId="0" borderId="0" xfId="0" applyNumberFormat="1">
      <alignment vertical="center"/>
    </xf>
    <xf numFmtId="38" fontId="0" fillId="0" borderId="0" xfId="1" applyFont="1">
      <alignment vertical="center"/>
    </xf>
    <xf numFmtId="2" fontId="0" fillId="0" borderId="2" xfId="0" applyNumberFormat="1" applyBorder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vertical="center" wrapText="1"/>
    </xf>
    <xf numFmtId="179" fontId="1" fillId="0" borderId="0" xfId="0" applyNumberFormat="1" applyFont="1" applyFill="1" applyBorder="1">
      <alignment vertical="center"/>
    </xf>
    <xf numFmtId="176" fontId="1" fillId="0" borderId="0" xfId="0" applyNumberFormat="1" applyFont="1" applyFill="1" applyBorder="1">
      <alignment vertical="center"/>
    </xf>
    <xf numFmtId="2" fontId="1" fillId="0" borderId="0" xfId="0" applyNumberFormat="1" applyFont="1" applyFill="1" applyBorder="1">
      <alignment vertical="center"/>
    </xf>
    <xf numFmtId="179" fontId="1" fillId="0" borderId="3" xfId="0" applyNumberFormat="1" applyFont="1" applyFill="1" applyBorder="1">
      <alignment vertical="center"/>
    </xf>
    <xf numFmtId="176" fontId="1" fillId="0" borderId="3" xfId="0" applyNumberFormat="1" applyFont="1" applyFill="1" applyBorder="1">
      <alignment vertical="center"/>
    </xf>
    <xf numFmtId="2" fontId="1" fillId="0" borderId="3" xfId="0" applyNumberFormat="1" applyFont="1" applyFill="1" applyBorder="1">
      <alignment vertical="center"/>
    </xf>
    <xf numFmtId="179" fontId="1" fillId="0" borderId="2" xfId="0" applyNumberFormat="1" applyFont="1" applyFill="1" applyBorder="1">
      <alignment vertical="center"/>
    </xf>
    <xf numFmtId="176" fontId="1" fillId="0" borderId="2" xfId="0" applyNumberFormat="1" applyFont="1" applyFill="1" applyBorder="1">
      <alignment vertical="center"/>
    </xf>
    <xf numFmtId="2" fontId="1" fillId="0" borderId="2" xfId="0" applyNumberFormat="1" applyFont="1" applyFill="1" applyBorder="1">
      <alignment vertical="center"/>
    </xf>
    <xf numFmtId="0" fontId="1" fillId="0" borderId="2" xfId="0" applyFont="1" applyFill="1" applyBorder="1">
      <alignment vertical="center"/>
    </xf>
    <xf numFmtId="182" fontId="0" fillId="0" borderId="0" xfId="0" applyNumberFormat="1">
      <alignment vertical="center"/>
    </xf>
    <xf numFmtId="0" fontId="7" fillId="0" borderId="0" xfId="0" applyFont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/>
    </xf>
    <xf numFmtId="182" fontId="7" fillId="0" borderId="0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 readingOrder="1"/>
    </xf>
    <xf numFmtId="0" fontId="10" fillId="0" borderId="7" xfId="0" applyFont="1" applyBorder="1" applyAlignment="1">
      <alignment horizontal="center" vertical="center" wrapText="1" readingOrder="1"/>
    </xf>
    <xf numFmtId="0" fontId="10" fillId="0" borderId="6" xfId="0" applyFont="1" applyBorder="1" applyAlignment="1">
      <alignment horizontal="left" vertical="center" wrapText="1" readingOrder="1"/>
    </xf>
    <xf numFmtId="0" fontId="10" fillId="0" borderId="0" xfId="0" applyFont="1" applyAlignment="1">
      <alignment horizontal="left" vertical="center" wrapText="1" readingOrder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" fillId="5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8" fillId="0" borderId="0" xfId="0" applyFont="1">
      <alignment vertical="center"/>
    </xf>
    <xf numFmtId="0" fontId="6" fillId="0" borderId="18" xfId="0" applyFont="1" applyBorder="1" applyAlignment="1">
      <alignment horizontal="left" vertical="center" wrapText="1" readingOrder="1"/>
    </xf>
    <xf numFmtId="0" fontId="10" fillId="0" borderId="18" xfId="0" applyFont="1" applyBorder="1" applyAlignment="1">
      <alignment horizontal="center" vertical="center" wrapText="1" readingOrder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0" fillId="0" borderId="3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22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1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right" vertical="center"/>
    </xf>
    <xf numFmtId="0" fontId="20" fillId="0" borderId="16" xfId="0" applyFont="1" applyBorder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0" fillId="0" borderId="15" xfId="0" applyFont="1" applyBorder="1" applyAlignment="1">
      <alignment horizontal="right" vertical="center"/>
    </xf>
    <xf numFmtId="0" fontId="20" fillId="0" borderId="4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right" vertical="center"/>
    </xf>
    <xf numFmtId="0" fontId="20" fillId="0" borderId="4" xfId="0" applyFont="1" applyBorder="1" applyAlignment="1">
      <alignment horizontal="right" vertical="center"/>
    </xf>
    <xf numFmtId="0" fontId="20" fillId="0" borderId="19" xfId="0" applyFont="1" applyBorder="1" applyAlignment="1">
      <alignment horizontal="right" vertical="center"/>
    </xf>
    <xf numFmtId="0" fontId="20" fillId="0" borderId="17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20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20" fillId="0" borderId="3" xfId="0" applyFont="1" applyBorder="1" applyAlignment="1">
      <alignment horizontal="right" vertical="center"/>
    </xf>
    <xf numFmtId="0" fontId="20" fillId="0" borderId="20" xfId="0" applyFont="1" applyBorder="1" applyAlignment="1">
      <alignment horizontal="right" vertical="center"/>
    </xf>
    <xf numFmtId="0" fontId="20" fillId="0" borderId="16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" fillId="0" borderId="21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20" fillId="0" borderId="0" xfId="0" applyFont="1" applyBorder="1" applyAlignment="1">
      <alignment horizontal="right" vertical="center"/>
    </xf>
    <xf numFmtId="0" fontId="20" fillId="0" borderId="0" xfId="0" applyFont="1" applyBorder="1" applyAlignment="1">
      <alignment horizontal="right" vertical="center"/>
    </xf>
    <xf numFmtId="0" fontId="20" fillId="0" borderId="2" xfId="0" applyFont="1" applyBorder="1" applyAlignment="1">
      <alignment horizontal="right" vertical="center"/>
    </xf>
    <xf numFmtId="0" fontId="20" fillId="0" borderId="14" xfId="0" applyFont="1" applyBorder="1" applyAlignment="1">
      <alignment horizontal="right" vertical="center"/>
    </xf>
    <xf numFmtId="0" fontId="20" fillId="0" borderId="2" xfId="0" applyFont="1" applyBorder="1" applyAlignment="1">
      <alignment horizontal="right" vertical="center"/>
    </xf>
    <xf numFmtId="0" fontId="20" fillId="0" borderId="22" xfId="0" applyFont="1" applyBorder="1" applyAlignment="1">
      <alignment horizontal="right" vertical="center"/>
    </xf>
    <xf numFmtId="0" fontId="20" fillId="0" borderId="14" xfId="0" applyFont="1" applyBorder="1" applyAlignment="1">
      <alignment horizontal="right" vertical="center"/>
    </xf>
    <xf numFmtId="0" fontId="22" fillId="0" borderId="2" xfId="0" applyFont="1" applyBorder="1" applyAlignment="1">
      <alignment horizontal="left" vertical="center"/>
    </xf>
    <xf numFmtId="0" fontId="20" fillId="0" borderId="14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0" fontId="19" fillId="0" borderId="0" xfId="0" applyFont="1" applyBorder="1">
      <alignment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5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5">
    <dxf>
      <font>
        <b/>
        <i/>
        <color rgb="FF9C0006"/>
      </font>
    </dxf>
    <dxf>
      <font>
        <b/>
        <i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9979595974543"/>
          <c:y val="0.19166663372808132"/>
          <c:w val="0.76889609398990255"/>
          <c:h val="0.510168141297188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'Fig2'!$K$2</c:f>
              <c:strCache>
                <c:ptCount val="1"/>
                <c:pt idx="0">
                  <c:v>manure input</c:v>
                </c:pt>
              </c:strCache>
            </c:strRef>
          </c:tx>
          <c:spPr>
            <a:solidFill>
              <a:srgbClr val="002060"/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numRef>
              <c:f>'Fig2'!$J$3:$J$16</c:f>
              <c:numCache>
                <c:formatCode>[$-409]d\-mmm;@</c:formatCode>
                <c:ptCount val="14"/>
                <c:pt idx="0">
                  <c:v>42800</c:v>
                </c:pt>
                <c:pt idx="1">
                  <c:v>42801</c:v>
                </c:pt>
                <c:pt idx="2">
                  <c:v>42802</c:v>
                </c:pt>
                <c:pt idx="3">
                  <c:v>42803</c:v>
                </c:pt>
                <c:pt idx="4">
                  <c:v>42804</c:v>
                </c:pt>
                <c:pt idx="5">
                  <c:v>42805</c:v>
                </c:pt>
                <c:pt idx="6">
                  <c:v>42806</c:v>
                </c:pt>
                <c:pt idx="7">
                  <c:v>42807</c:v>
                </c:pt>
                <c:pt idx="8">
                  <c:v>42808</c:v>
                </c:pt>
                <c:pt idx="9">
                  <c:v>42809</c:v>
                </c:pt>
                <c:pt idx="10">
                  <c:v>42810</c:v>
                </c:pt>
                <c:pt idx="11">
                  <c:v>42811</c:v>
                </c:pt>
                <c:pt idx="12">
                  <c:v>42812</c:v>
                </c:pt>
                <c:pt idx="13">
                  <c:v>42813</c:v>
                </c:pt>
              </c:numCache>
            </c:numRef>
          </c:cat>
          <c:val>
            <c:numRef>
              <c:f>'Fig2'!$K$3:$K$16</c:f>
              <c:numCache>
                <c:formatCode>General</c:formatCode>
                <c:ptCount val="1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5-456E-B126-A1EC1E1B1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8521824"/>
        <c:axId val="1158445472"/>
      </c:barChart>
      <c:lineChart>
        <c:grouping val="standard"/>
        <c:varyColors val="0"/>
        <c:ser>
          <c:idx val="1"/>
          <c:order val="1"/>
          <c:tx>
            <c:strRef>
              <c:f>'Fig2'!$L$2</c:f>
              <c:strCache>
                <c:ptCount val="1"/>
                <c:pt idx="0">
                  <c:v>top of facility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'Fig2'!$J$3:$J$16</c:f>
              <c:numCache>
                <c:formatCode>[$-409]d\-mmm;@</c:formatCode>
                <c:ptCount val="14"/>
                <c:pt idx="0">
                  <c:v>42800</c:v>
                </c:pt>
                <c:pt idx="1">
                  <c:v>42801</c:v>
                </c:pt>
                <c:pt idx="2">
                  <c:v>42802</c:v>
                </c:pt>
                <c:pt idx="3">
                  <c:v>42803</c:v>
                </c:pt>
                <c:pt idx="4">
                  <c:v>42804</c:v>
                </c:pt>
                <c:pt idx="5">
                  <c:v>42805</c:v>
                </c:pt>
                <c:pt idx="6">
                  <c:v>42806</c:v>
                </c:pt>
                <c:pt idx="7">
                  <c:v>42807</c:v>
                </c:pt>
                <c:pt idx="8">
                  <c:v>42808</c:v>
                </c:pt>
                <c:pt idx="9">
                  <c:v>42809</c:v>
                </c:pt>
                <c:pt idx="10">
                  <c:v>42810</c:v>
                </c:pt>
                <c:pt idx="11">
                  <c:v>42811</c:v>
                </c:pt>
                <c:pt idx="12">
                  <c:v>42812</c:v>
                </c:pt>
                <c:pt idx="13">
                  <c:v>42813</c:v>
                </c:pt>
              </c:numCache>
            </c:numRef>
          </c:cat>
          <c:val>
            <c:numRef>
              <c:f>'Fig2'!$L$3:$L$16</c:f>
              <c:numCache>
                <c:formatCode>General</c:formatCode>
                <c:ptCount val="14"/>
                <c:pt idx="0">
                  <c:v>70</c:v>
                </c:pt>
                <c:pt idx="1">
                  <c:v>68</c:v>
                </c:pt>
                <c:pt idx="2">
                  <c:v>68</c:v>
                </c:pt>
                <c:pt idx="3">
                  <c:v>66</c:v>
                </c:pt>
                <c:pt idx="4">
                  <c:v>64</c:v>
                </c:pt>
                <c:pt idx="5">
                  <c:v>64</c:v>
                </c:pt>
                <c:pt idx="6">
                  <c:v>20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70</c:v>
                </c:pt>
                <c:pt idx="12">
                  <c:v>68</c:v>
                </c:pt>
                <c:pt idx="13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65-456E-B126-A1EC1E1B180D}"/>
            </c:ext>
          </c:extLst>
        </c:ser>
        <c:ser>
          <c:idx val="2"/>
          <c:order val="2"/>
          <c:tx>
            <c:strRef>
              <c:f>'Fig2'!$M$2</c:f>
              <c:strCache>
                <c:ptCount val="1"/>
                <c:pt idx="0">
                  <c:v>middle of facility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'Fig2'!$J$3:$J$16</c:f>
              <c:numCache>
                <c:formatCode>[$-409]d\-mmm;@</c:formatCode>
                <c:ptCount val="14"/>
                <c:pt idx="0">
                  <c:v>42800</c:v>
                </c:pt>
                <c:pt idx="1">
                  <c:v>42801</c:v>
                </c:pt>
                <c:pt idx="2">
                  <c:v>42802</c:v>
                </c:pt>
                <c:pt idx="3">
                  <c:v>42803</c:v>
                </c:pt>
                <c:pt idx="4">
                  <c:v>42804</c:v>
                </c:pt>
                <c:pt idx="5">
                  <c:v>42805</c:v>
                </c:pt>
                <c:pt idx="6">
                  <c:v>42806</c:v>
                </c:pt>
                <c:pt idx="7">
                  <c:v>42807</c:v>
                </c:pt>
                <c:pt idx="8">
                  <c:v>42808</c:v>
                </c:pt>
                <c:pt idx="9">
                  <c:v>42809</c:v>
                </c:pt>
                <c:pt idx="10">
                  <c:v>42810</c:v>
                </c:pt>
                <c:pt idx="11">
                  <c:v>42811</c:v>
                </c:pt>
                <c:pt idx="12">
                  <c:v>42812</c:v>
                </c:pt>
                <c:pt idx="13">
                  <c:v>42813</c:v>
                </c:pt>
              </c:numCache>
            </c:numRef>
          </c:cat>
          <c:val>
            <c:numRef>
              <c:f>'Fig2'!$M$3:$M$16</c:f>
              <c:numCache>
                <c:formatCode>General</c:formatCode>
                <c:ptCount val="14"/>
                <c:pt idx="0">
                  <c:v>70</c:v>
                </c:pt>
                <c:pt idx="1">
                  <c:v>66</c:v>
                </c:pt>
                <c:pt idx="2">
                  <c:v>66</c:v>
                </c:pt>
                <c:pt idx="3">
                  <c:v>60</c:v>
                </c:pt>
                <c:pt idx="4">
                  <c:v>62</c:v>
                </c:pt>
                <c:pt idx="5">
                  <c:v>60</c:v>
                </c:pt>
                <c:pt idx="6">
                  <c:v>20</c:v>
                </c:pt>
                <c:pt idx="7">
                  <c:v>66</c:v>
                </c:pt>
                <c:pt idx="8">
                  <c:v>68</c:v>
                </c:pt>
                <c:pt idx="9">
                  <c:v>66</c:v>
                </c:pt>
                <c:pt idx="10">
                  <c:v>68</c:v>
                </c:pt>
                <c:pt idx="11">
                  <c:v>68</c:v>
                </c:pt>
                <c:pt idx="12">
                  <c:v>60</c:v>
                </c:pt>
                <c:pt idx="13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56E-B126-A1EC1E1B180D}"/>
            </c:ext>
          </c:extLst>
        </c:ser>
        <c:ser>
          <c:idx val="3"/>
          <c:order val="3"/>
          <c:tx>
            <c:strRef>
              <c:f>'Fig2'!$N$2</c:f>
              <c:strCache>
                <c:ptCount val="1"/>
                <c:pt idx="0">
                  <c:v>bottom of facility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numRef>
              <c:f>'Fig2'!$J$3:$J$16</c:f>
              <c:numCache>
                <c:formatCode>[$-409]d\-mmm;@</c:formatCode>
                <c:ptCount val="14"/>
                <c:pt idx="0">
                  <c:v>42800</c:v>
                </c:pt>
                <c:pt idx="1">
                  <c:v>42801</c:v>
                </c:pt>
                <c:pt idx="2">
                  <c:v>42802</c:v>
                </c:pt>
                <c:pt idx="3">
                  <c:v>42803</c:v>
                </c:pt>
                <c:pt idx="4">
                  <c:v>42804</c:v>
                </c:pt>
                <c:pt idx="5">
                  <c:v>42805</c:v>
                </c:pt>
                <c:pt idx="6">
                  <c:v>42806</c:v>
                </c:pt>
                <c:pt idx="7">
                  <c:v>42807</c:v>
                </c:pt>
                <c:pt idx="8">
                  <c:v>42808</c:v>
                </c:pt>
                <c:pt idx="9">
                  <c:v>42809</c:v>
                </c:pt>
                <c:pt idx="10">
                  <c:v>42810</c:v>
                </c:pt>
                <c:pt idx="11">
                  <c:v>42811</c:v>
                </c:pt>
                <c:pt idx="12">
                  <c:v>42812</c:v>
                </c:pt>
                <c:pt idx="13">
                  <c:v>42813</c:v>
                </c:pt>
              </c:numCache>
            </c:numRef>
          </c:cat>
          <c:val>
            <c:numRef>
              <c:f>'Fig2'!$N$3:$N$16</c:f>
              <c:numCache>
                <c:formatCode>General</c:formatCode>
                <c:ptCount val="14"/>
                <c:pt idx="0">
                  <c:v>56</c:v>
                </c:pt>
                <c:pt idx="1">
                  <c:v>54</c:v>
                </c:pt>
                <c:pt idx="2">
                  <c:v>50</c:v>
                </c:pt>
                <c:pt idx="3">
                  <c:v>50</c:v>
                </c:pt>
                <c:pt idx="4">
                  <c:v>52</c:v>
                </c:pt>
                <c:pt idx="5">
                  <c:v>44</c:v>
                </c:pt>
                <c:pt idx="6">
                  <c:v>60</c:v>
                </c:pt>
                <c:pt idx="7">
                  <c:v>57</c:v>
                </c:pt>
                <c:pt idx="8">
                  <c:v>56</c:v>
                </c:pt>
                <c:pt idx="9">
                  <c:v>52</c:v>
                </c:pt>
                <c:pt idx="10">
                  <c:v>56</c:v>
                </c:pt>
                <c:pt idx="11">
                  <c:v>60</c:v>
                </c:pt>
                <c:pt idx="12">
                  <c:v>52</c:v>
                </c:pt>
                <c:pt idx="13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56E-B126-A1EC1E1B180D}"/>
            </c:ext>
          </c:extLst>
        </c:ser>
        <c:ser>
          <c:idx val="4"/>
          <c:order val="4"/>
          <c:tx>
            <c:strRef>
              <c:f>'Fig2'!$O$2</c:f>
              <c:strCache>
                <c:ptCount val="1"/>
                <c:pt idx="0">
                  <c:v>exhaust</c:v>
                </c:pt>
              </c:strCache>
            </c:strRef>
          </c:tx>
          <c:spPr>
            <a:ln w="317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'Fig2'!$J$3:$J$16</c:f>
              <c:numCache>
                <c:formatCode>[$-409]d\-mmm;@</c:formatCode>
                <c:ptCount val="14"/>
                <c:pt idx="0">
                  <c:v>42800</c:v>
                </c:pt>
                <c:pt idx="1">
                  <c:v>42801</c:v>
                </c:pt>
                <c:pt idx="2">
                  <c:v>42802</c:v>
                </c:pt>
                <c:pt idx="3">
                  <c:v>42803</c:v>
                </c:pt>
                <c:pt idx="4">
                  <c:v>42804</c:v>
                </c:pt>
                <c:pt idx="5">
                  <c:v>42805</c:v>
                </c:pt>
                <c:pt idx="6">
                  <c:v>42806</c:v>
                </c:pt>
                <c:pt idx="7">
                  <c:v>42807</c:v>
                </c:pt>
                <c:pt idx="8">
                  <c:v>42808</c:v>
                </c:pt>
                <c:pt idx="9">
                  <c:v>42809</c:v>
                </c:pt>
                <c:pt idx="10">
                  <c:v>42810</c:v>
                </c:pt>
                <c:pt idx="11">
                  <c:v>42811</c:v>
                </c:pt>
                <c:pt idx="12">
                  <c:v>42812</c:v>
                </c:pt>
                <c:pt idx="13">
                  <c:v>42813</c:v>
                </c:pt>
              </c:numCache>
            </c:numRef>
          </c:cat>
          <c:val>
            <c:numRef>
              <c:f>'Fig2'!$O$3:$O$16</c:f>
              <c:numCache>
                <c:formatCode>0.0</c:formatCode>
                <c:ptCount val="14"/>
                <c:pt idx="0">
                  <c:v>66.629166666666677</c:v>
                </c:pt>
                <c:pt idx="1">
                  <c:v>64.339583333333323</c:v>
                </c:pt>
                <c:pt idx="2">
                  <c:v>61.112500000000018</c:v>
                </c:pt>
                <c:pt idx="3">
                  <c:v>40.01874999999999</c:v>
                </c:pt>
                <c:pt idx="4">
                  <c:v>61.560416666666676</c:v>
                </c:pt>
                <c:pt idx="5">
                  <c:v>54.949999999999996</c:v>
                </c:pt>
                <c:pt idx="6">
                  <c:v>65.770833333333329</c:v>
                </c:pt>
                <c:pt idx="7">
                  <c:v>65.102083333333326</c:v>
                </c:pt>
                <c:pt idx="8">
                  <c:v>66.204166666666666</c:v>
                </c:pt>
                <c:pt idx="9">
                  <c:v>65.547916666666694</c:v>
                </c:pt>
                <c:pt idx="10">
                  <c:v>66.450000000000031</c:v>
                </c:pt>
                <c:pt idx="11">
                  <c:v>65.293750000000003</c:v>
                </c:pt>
                <c:pt idx="12">
                  <c:v>63.235416666666687</c:v>
                </c:pt>
                <c:pt idx="13">
                  <c:v>65.604166666666643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56E-B126-A1EC1E1B1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050048"/>
        <c:axId val="1158536992"/>
      </c:lineChart>
      <c:dateAx>
        <c:axId val="945050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/>
                  <a:t>2017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158536992"/>
        <c:crosses val="autoZero"/>
        <c:auto val="1"/>
        <c:lblOffset val="100"/>
        <c:baseTimeUnit val="days"/>
      </c:dateAx>
      <c:valAx>
        <c:axId val="115853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/>
                  <a:t>Temerature (°C)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945050048"/>
        <c:crosses val="autoZero"/>
        <c:crossBetween val="between"/>
      </c:valAx>
      <c:valAx>
        <c:axId val="1158445472"/>
        <c:scaling>
          <c:orientation val="minMax"/>
          <c:max val="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/>
                  <a:t>Manure input(m</a:t>
                </a:r>
                <a:r>
                  <a:rPr lang="en-US" altLang="ja-JP" baseline="30000"/>
                  <a:t>3</a:t>
                </a:r>
                <a:r>
                  <a:rPr lang="en-US" altLang="ja-JP"/>
                  <a:t> d</a:t>
                </a:r>
                <a:r>
                  <a:rPr lang="en-US" altLang="ja-JP" baseline="30000"/>
                  <a:t>-1</a:t>
                </a:r>
                <a:r>
                  <a:rPr lang="en-US" altLang="ja-JP"/>
                  <a:t>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288521824"/>
        <c:crosses val="max"/>
        <c:crossBetween val="between"/>
      </c:valAx>
      <c:dateAx>
        <c:axId val="1288521824"/>
        <c:scaling>
          <c:orientation val="minMax"/>
        </c:scaling>
        <c:delete val="1"/>
        <c:axPos val="b"/>
        <c:numFmt formatCode="[$-409]d\-mmm;@" sourceLinked="1"/>
        <c:majorTickMark val="out"/>
        <c:minorTickMark val="none"/>
        <c:tickLblPos val="nextTo"/>
        <c:crossAx val="1158445472"/>
        <c:crosses val="autoZero"/>
        <c:auto val="1"/>
        <c:lblOffset val="100"/>
        <c:baseTimeUnit val="days"/>
      </c:date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1.7708005278987776E-2"/>
          <c:y val="3.4711286089239321E-3"/>
          <c:w val="0.96726080377761492"/>
          <c:h val="0.150464056756895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58092738407698"/>
          <c:y val="0.19444444444444445"/>
          <c:w val="0.78607195975503064"/>
          <c:h val="0.66169728783902015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'Fig3'!$J$1</c:f>
              <c:strCache>
                <c:ptCount val="1"/>
                <c:pt idx="0">
                  <c:v>Exhaust Temp.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'Fig3'!$I$2:$I$49</c:f>
              <c:numCache>
                <c:formatCode>yyyy/m/d\ h:mm;@</c:formatCode>
                <c:ptCount val="48"/>
                <c:pt idx="0">
                  <c:v>42811</c:v>
                </c:pt>
                <c:pt idx="1">
                  <c:v>42811.020833333336</c:v>
                </c:pt>
                <c:pt idx="2">
                  <c:v>42811.041666666664</c:v>
                </c:pt>
                <c:pt idx="3">
                  <c:v>42811.0625</c:v>
                </c:pt>
                <c:pt idx="4">
                  <c:v>42811.083333333336</c:v>
                </c:pt>
                <c:pt idx="5">
                  <c:v>42811.104166666664</c:v>
                </c:pt>
                <c:pt idx="6">
                  <c:v>42811.125</c:v>
                </c:pt>
                <c:pt idx="7">
                  <c:v>42811.145833333336</c:v>
                </c:pt>
                <c:pt idx="8">
                  <c:v>42811.166666666664</c:v>
                </c:pt>
                <c:pt idx="9">
                  <c:v>42811.1875</c:v>
                </c:pt>
                <c:pt idx="10">
                  <c:v>42811.208333333336</c:v>
                </c:pt>
                <c:pt idx="11">
                  <c:v>42811.229166666664</c:v>
                </c:pt>
                <c:pt idx="12">
                  <c:v>42811.25</c:v>
                </c:pt>
                <c:pt idx="13">
                  <c:v>42811.270833333336</c:v>
                </c:pt>
                <c:pt idx="14">
                  <c:v>42811.291666666664</c:v>
                </c:pt>
                <c:pt idx="15">
                  <c:v>42811.3125</c:v>
                </c:pt>
                <c:pt idx="16">
                  <c:v>42811.333333333336</c:v>
                </c:pt>
                <c:pt idx="17">
                  <c:v>42811.354166666664</c:v>
                </c:pt>
                <c:pt idx="18">
                  <c:v>42811.375</c:v>
                </c:pt>
                <c:pt idx="19">
                  <c:v>42811.395833333336</c:v>
                </c:pt>
                <c:pt idx="20">
                  <c:v>42811.416666666664</c:v>
                </c:pt>
                <c:pt idx="21">
                  <c:v>42811.4375</c:v>
                </c:pt>
                <c:pt idx="22">
                  <c:v>42811.458333333336</c:v>
                </c:pt>
                <c:pt idx="23">
                  <c:v>42811.479166666664</c:v>
                </c:pt>
                <c:pt idx="24">
                  <c:v>42811.5</c:v>
                </c:pt>
                <c:pt idx="25">
                  <c:v>42811.520833333336</c:v>
                </c:pt>
                <c:pt idx="26">
                  <c:v>42811.541666666664</c:v>
                </c:pt>
                <c:pt idx="27">
                  <c:v>42811.5625</c:v>
                </c:pt>
                <c:pt idx="28">
                  <c:v>42811.583333333336</c:v>
                </c:pt>
                <c:pt idx="29">
                  <c:v>42811.604166666664</c:v>
                </c:pt>
                <c:pt idx="30">
                  <c:v>42811.625</c:v>
                </c:pt>
                <c:pt idx="31">
                  <c:v>42811.645833333336</c:v>
                </c:pt>
                <c:pt idx="32">
                  <c:v>42811.666666666664</c:v>
                </c:pt>
                <c:pt idx="33">
                  <c:v>42811.6875</c:v>
                </c:pt>
                <c:pt idx="34">
                  <c:v>42811.708333333336</c:v>
                </c:pt>
                <c:pt idx="35">
                  <c:v>42811.729166666664</c:v>
                </c:pt>
                <c:pt idx="36">
                  <c:v>42811.75</c:v>
                </c:pt>
                <c:pt idx="37">
                  <c:v>42811.770833333336</c:v>
                </c:pt>
                <c:pt idx="38">
                  <c:v>42811.791666666664</c:v>
                </c:pt>
                <c:pt idx="39">
                  <c:v>42811.8125</c:v>
                </c:pt>
                <c:pt idx="40">
                  <c:v>42811.833333333336</c:v>
                </c:pt>
                <c:pt idx="41">
                  <c:v>42811.854166666664</c:v>
                </c:pt>
                <c:pt idx="42">
                  <c:v>42811.875</c:v>
                </c:pt>
                <c:pt idx="43">
                  <c:v>42811.895833333336</c:v>
                </c:pt>
                <c:pt idx="44">
                  <c:v>42811.916666666664</c:v>
                </c:pt>
                <c:pt idx="45">
                  <c:v>42811.9375</c:v>
                </c:pt>
                <c:pt idx="46">
                  <c:v>42811.958333333336</c:v>
                </c:pt>
                <c:pt idx="47">
                  <c:v>42811.979166666664</c:v>
                </c:pt>
              </c:numCache>
            </c:numRef>
          </c:xVal>
          <c:yVal>
            <c:numRef>
              <c:f>'Fig3'!$J$2:$J$49</c:f>
              <c:numCache>
                <c:formatCode>General</c:formatCode>
                <c:ptCount val="48"/>
                <c:pt idx="0">
                  <c:v>66.2</c:v>
                </c:pt>
                <c:pt idx="1">
                  <c:v>66.599999999999994</c:v>
                </c:pt>
                <c:pt idx="2">
                  <c:v>65.7</c:v>
                </c:pt>
                <c:pt idx="3">
                  <c:v>65.3</c:v>
                </c:pt>
                <c:pt idx="4">
                  <c:v>67.3</c:v>
                </c:pt>
                <c:pt idx="5">
                  <c:v>66.2</c:v>
                </c:pt>
                <c:pt idx="6">
                  <c:v>65.8</c:v>
                </c:pt>
                <c:pt idx="7">
                  <c:v>67.3</c:v>
                </c:pt>
                <c:pt idx="8">
                  <c:v>66</c:v>
                </c:pt>
                <c:pt idx="9">
                  <c:v>67.2</c:v>
                </c:pt>
                <c:pt idx="10">
                  <c:v>66.5</c:v>
                </c:pt>
                <c:pt idx="11">
                  <c:v>64.8</c:v>
                </c:pt>
                <c:pt idx="12">
                  <c:v>65.400000000000006</c:v>
                </c:pt>
                <c:pt idx="13">
                  <c:v>65.599999999999994</c:v>
                </c:pt>
                <c:pt idx="14">
                  <c:v>66.2</c:v>
                </c:pt>
                <c:pt idx="15">
                  <c:v>65.7</c:v>
                </c:pt>
                <c:pt idx="16">
                  <c:v>52.3</c:v>
                </c:pt>
                <c:pt idx="17">
                  <c:v>54.6</c:v>
                </c:pt>
                <c:pt idx="18">
                  <c:v>61</c:v>
                </c:pt>
                <c:pt idx="19">
                  <c:v>60.7</c:v>
                </c:pt>
                <c:pt idx="20">
                  <c:v>61.5</c:v>
                </c:pt>
                <c:pt idx="21">
                  <c:v>63.1</c:v>
                </c:pt>
                <c:pt idx="22">
                  <c:v>63.3</c:v>
                </c:pt>
                <c:pt idx="23">
                  <c:v>64.3</c:v>
                </c:pt>
                <c:pt idx="24">
                  <c:v>61.9</c:v>
                </c:pt>
                <c:pt idx="25">
                  <c:v>63.9</c:v>
                </c:pt>
                <c:pt idx="26">
                  <c:v>63.8</c:v>
                </c:pt>
                <c:pt idx="27">
                  <c:v>63.6</c:v>
                </c:pt>
                <c:pt idx="28">
                  <c:v>63.2</c:v>
                </c:pt>
                <c:pt idx="29">
                  <c:v>62.6</c:v>
                </c:pt>
                <c:pt idx="30">
                  <c:v>61.7</c:v>
                </c:pt>
                <c:pt idx="31">
                  <c:v>63.2</c:v>
                </c:pt>
                <c:pt idx="32">
                  <c:v>62</c:v>
                </c:pt>
                <c:pt idx="33">
                  <c:v>62.2</c:v>
                </c:pt>
                <c:pt idx="34">
                  <c:v>63.7</c:v>
                </c:pt>
                <c:pt idx="35">
                  <c:v>55.2</c:v>
                </c:pt>
                <c:pt idx="36">
                  <c:v>51.7</c:v>
                </c:pt>
                <c:pt idx="37">
                  <c:v>52.5</c:v>
                </c:pt>
                <c:pt idx="38">
                  <c:v>61.6</c:v>
                </c:pt>
                <c:pt idx="39">
                  <c:v>63.5</c:v>
                </c:pt>
                <c:pt idx="40">
                  <c:v>62.9</c:v>
                </c:pt>
                <c:pt idx="41">
                  <c:v>63.5</c:v>
                </c:pt>
                <c:pt idx="42">
                  <c:v>61.3</c:v>
                </c:pt>
                <c:pt idx="43">
                  <c:v>65.5</c:v>
                </c:pt>
                <c:pt idx="44">
                  <c:v>64.099999999999994</c:v>
                </c:pt>
                <c:pt idx="45">
                  <c:v>64.5</c:v>
                </c:pt>
                <c:pt idx="46">
                  <c:v>65.900000000000006</c:v>
                </c:pt>
                <c:pt idx="47">
                  <c:v>66.099999999999994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25-4C2C-9E47-636A6EB55F55}"/>
            </c:ext>
          </c:extLst>
        </c:ser>
        <c:ser>
          <c:idx val="1"/>
          <c:order val="1"/>
          <c:tx>
            <c:strRef>
              <c:f>'Fig3'!$K$1</c:f>
              <c:strCache>
                <c:ptCount val="1"/>
                <c:pt idx="0">
                  <c:v>Water Temp.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'Fig3'!$I$2:$I$49</c:f>
              <c:numCache>
                <c:formatCode>yyyy/m/d\ h:mm;@</c:formatCode>
                <c:ptCount val="48"/>
                <c:pt idx="0">
                  <c:v>42811</c:v>
                </c:pt>
                <c:pt idx="1">
                  <c:v>42811.020833333336</c:v>
                </c:pt>
                <c:pt idx="2">
                  <c:v>42811.041666666664</c:v>
                </c:pt>
                <c:pt idx="3">
                  <c:v>42811.0625</c:v>
                </c:pt>
                <c:pt idx="4">
                  <c:v>42811.083333333336</c:v>
                </c:pt>
                <c:pt idx="5">
                  <c:v>42811.104166666664</c:v>
                </c:pt>
                <c:pt idx="6">
                  <c:v>42811.125</c:v>
                </c:pt>
                <c:pt idx="7">
                  <c:v>42811.145833333336</c:v>
                </c:pt>
                <c:pt idx="8">
                  <c:v>42811.166666666664</c:v>
                </c:pt>
                <c:pt idx="9">
                  <c:v>42811.1875</c:v>
                </c:pt>
                <c:pt idx="10">
                  <c:v>42811.208333333336</c:v>
                </c:pt>
                <c:pt idx="11">
                  <c:v>42811.229166666664</c:v>
                </c:pt>
                <c:pt idx="12">
                  <c:v>42811.25</c:v>
                </c:pt>
                <c:pt idx="13">
                  <c:v>42811.270833333336</c:v>
                </c:pt>
                <c:pt idx="14">
                  <c:v>42811.291666666664</c:v>
                </c:pt>
                <c:pt idx="15">
                  <c:v>42811.3125</c:v>
                </c:pt>
                <c:pt idx="16">
                  <c:v>42811.333333333336</c:v>
                </c:pt>
                <c:pt idx="17">
                  <c:v>42811.354166666664</c:v>
                </c:pt>
                <c:pt idx="18">
                  <c:v>42811.375</c:v>
                </c:pt>
                <c:pt idx="19">
                  <c:v>42811.395833333336</c:v>
                </c:pt>
                <c:pt idx="20">
                  <c:v>42811.416666666664</c:v>
                </c:pt>
                <c:pt idx="21">
                  <c:v>42811.4375</c:v>
                </c:pt>
                <c:pt idx="22">
                  <c:v>42811.458333333336</c:v>
                </c:pt>
                <c:pt idx="23">
                  <c:v>42811.479166666664</c:v>
                </c:pt>
                <c:pt idx="24">
                  <c:v>42811.5</c:v>
                </c:pt>
                <c:pt idx="25">
                  <c:v>42811.520833333336</c:v>
                </c:pt>
                <c:pt idx="26">
                  <c:v>42811.541666666664</c:v>
                </c:pt>
                <c:pt idx="27">
                  <c:v>42811.5625</c:v>
                </c:pt>
                <c:pt idx="28">
                  <c:v>42811.583333333336</c:v>
                </c:pt>
                <c:pt idx="29">
                  <c:v>42811.604166666664</c:v>
                </c:pt>
                <c:pt idx="30">
                  <c:v>42811.625</c:v>
                </c:pt>
                <c:pt idx="31">
                  <c:v>42811.645833333336</c:v>
                </c:pt>
                <c:pt idx="32">
                  <c:v>42811.666666666664</c:v>
                </c:pt>
                <c:pt idx="33">
                  <c:v>42811.6875</c:v>
                </c:pt>
                <c:pt idx="34">
                  <c:v>42811.708333333336</c:v>
                </c:pt>
                <c:pt idx="35">
                  <c:v>42811.729166666664</c:v>
                </c:pt>
                <c:pt idx="36">
                  <c:v>42811.75</c:v>
                </c:pt>
                <c:pt idx="37">
                  <c:v>42811.770833333336</c:v>
                </c:pt>
                <c:pt idx="38">
                  <c:v>42811.791666666664</c:v>
                </c:pt>
                <c:pt idx="39">
                  <c:v>42811.8125</c:v>
                </c:pt>
                <c:pt idx="40">
                  <c:v>42811.833333333336</c:v>
                </c:pt>
                <c:pt idx="41">
                  <c:v>42811.854166666664</c:v>
                </c:pt>
                <c:pt idx="42">
                  <c:v>42811.875</c:v>
                </c:pt>
                <c:pt idx="43">
                  <c:v>42811.895833333336</c:v>
                </c:pt>
                <c:pt idx="44">
                  <c:v>42811.916666666664</c:v>
                </c:pt>
                <c:pt idx="45">
                  <c:v>42811.9375</c:v>
                </c:pt>
                <c:pt idx="46">
                  <c:v>42811.958333333336</c:v>
                </c:pt>
                <c:pt idx="47">
                  <c:v>42811.979166666664</c:v>
                </c:pt>
              </c:numCache>
            </c:numRef>
          </c:xVal>
          <c:yVal>
            <c:numRef>
              <c:f>'Fig3'!$K$2:$K$49</c:f>
              <c:numCache>
                <c:formatCode>General</c:formatCode>
                <c:ptCount val="48"/>
                <c:pt idx="0">
                  <c:v>36.799999999999997</c:v>
                </c:pt>
                <c:pt idx="1">
                  <c:v>37</c:v>
                </c:pt>
                <c:pt idx="2">
                  <c:v>37.200000000000003</c:v>
                </c:pt>
                <c:pt idx="3">
                  <c:v>38.5</c:v>
                </c:pt>
                <c:pt idx="4">
                  <c:v>39.299999999999997</c:v>
                </c:pt>
                <c:pt idx="5">
                  <c:v>39.9</c:v>
                </c:pt>
                <c:pt idx="6">
                  <c:v>40.799999999999997</c:v>
                </c:pt>
                <c:pt idx="7">
                  <c:v>42</c:v>
                </c:pt>
                <c:pt idx="8">
                  <c:v>43.2</c:v>
                </c:pt>
                <c:pt idx="9">
                  <c:v>44.1</c:v>
                </c:pt>
                <c:pt idx="10">
                  <c:v>45</c:v>
                </c:pt>
                <c:pt idx="11">
                  <c:v>45.8</c:v>
                </c:pt>
                <c:pt idx="12">
                  <c:v>46</c:v>
                </c:pt>
                <c:pt idx="13">
                  <c:v>45.3</c:v>
                </c:pt>
                <c:pt idx="14">
                  <c:v>41.6</c:v>
                </c:pt>
                <c:pt idx="15">
                  <c:v>37.1</c:v>
                </c:pt>
                <c:pt idx="16">
                  <c:v>32.4</c:v>
                </c:pt>
                <c:pt idx="17">
                  <c:v>30.9</c:v>
                </c:pt>
                <c:pt idx="18">
                  <c:v>31.5</c:v>
                </c:pt>
                <c:pt idx="19">
                  <c:v>32</c:v>
                </c:pt>
                <c:pt idx="20">
                  <c:v>32.1</c:v>
                </c:pt>
                <c:pt idx="21">
                  <c:v>32.4</c:v>
                </c:pt>
                <c:pt idx="22">
                  <c:v>32.700000000000003</c:v>
                </c:pt>
                <c:pt idx="23">
                  <c:v>32.9</c:v>
                </c:pt>
                <c:pt idx="24">
                  <c:v>32.1</c:v>
                </c:pt>
                <c:pt idx="25">
                  <c:v>31.8</c:v>
                </c:pt>
                <c:pt idx="26">
                  <c:v>32.1</c:v>
                </c:pt>
                <c:pt idx="27">
                  <c:v>32.200000000000003</c:v>
                </c:pt>
                <c:pt idx="28">
                  <c:v>33.5</c:v>
                </c:pt>
                <c:pt idx="29">
                  <c:v>35.1</c:v>
                </c:pt>
                <c:pt idx="30">
                  <c:v>36.200000000000003</c:v>
                </c:pt>
                <c:pt idx="31">
                  <c:v>35.799999999999997</c:v>
                </c:pt>
                <c:pt idx="32">
                  <c:v>35.799999999999997</c:v>
                </c:pt>
                <c:pt idx="33">
                  <c:v>35.4</c:v>
                </c:pt>
                <c:pt idx="34">
                  <c:v>35</c:v>
                </c:pt>
                <c:pt idx="35">
                  <c:v>34</c:v>
                </c:pt>
                <c:pt idx="36">
                  <c:v>27.9</c:v>
                </c:pt>
                <c:pt idx="37">
                  <c:v>28.4</c:v>
                </c:pt>
                <c:pt idx="38">
                  <c:v>28.5</c:v>
                </c:pt>
                <c:pt idx="39">
                  <c:v>28.1</c:v>
                </c:pt>
                <c:pt idx="40">
                  <c:v>29.2</c:v>
                </c:pt>
                <c:pt idx="41">
                  <c:v>31.5</c:v>
                </c:pt>
                <c:pt idx="42">
                  <c:v>32.4</c:v>
                </c:pt>
                <c:pt idx="43">
                  <c:v>32.6</c:v>
                </c:pt>
                <c:pt idx="44">
                  <c:v>33.1</c:v>
                </c:pt>
                <c:pt idx="45">
                  <c:v>33.200000000000003</c:v>
                </c:pt>
                <c:pt idx="46">
                  <c:v>33.6</c:v>
                </c:pt>
                <c:pt idx="47">
                  <c:v>34.700000000000003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25-4C2C-9E47-636A6EB55F55}"/>
            </c:ext>
          </c:extLst>
        </c:ser>
        <c:ser>
          <c:idx val="2"/>
          <c:order val="2"/>
          <c:tx>
            <c:strRef>
              <c:f>'Fig3'!$L$1</c:f>
              <c:strCache>
                <c:ptCount val="1"/>
                <c:pt idx="0">
                  <c:v>Ambient Temp.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'Fig3'!$I$2:$I$49</c:f>
              <c:numCache>
                <c:formatCode>yyyy/m/d\ h:mm;@</c:formatCode>
                <c:ptCount val="48"/>
                <c:pt idx="0">
                  <c:v>42811</c:v>
                </c:pt>
                <c:pt idx="1">
                  <c:v>42811.020833333336</c:v>
                </c:pt>
                <c:pt idx="2">
                  <c:v>42811.041666666664</c:v>
                </c:pt>
                <c:pt idx="3">
                  <c:v>42811.0625</c:v>
                </c:pt>
                <c:pt idx="4">
                  <c:v>42811.083333333336</c:v>
                </c:pt>
                <c:pt idx="5">
                  <c:v>42811.104166666664</c:v>
                </c:pt>
                <c:pt idx="6">
                  <c:v>42811.125</c:v>
                </c:pt>
                <c:pt idx="7">
                  <c:v>42811.145833333336</c:v>
                </c:pt>
                <c:pt idx="8">
                  <c:v>42811.166666666664</c:v>
                </c:pt>
                <c:pt idx="9">
                  <c:v>42811.1875</c:v>
                </c:pt>
                <c:pt idx="10">
                  <c:v>42811.208333333336</c:v>
                </c:pt>
                <c:pt idx="11">
                  <c:v>42811.229166666664</c:v>
                </c:pt>
                <c:pt idx="12">
                  <c:v>42811.25</c:v>
                </c:pt>
                <c:pt idx="13">
                  <c:v>42811.270833333336</c:v>
                </c:pt>
                <c:pt idx="14">
                  <c:v>42811.291666666664</c:v>
                </c:pt>
                <c:pt idx="15">
                  <c:v>42811.3125</c:v>
                </c:pt>
                <c:pt idx="16">
                  <c:v>42811.333333333336</c:v>
                </c:pt>
                <c:pt idx="17">
                  <c:v>42811.354166666664</c:v>
                </c:pt>
                <c:pt idx="18">
                  <c:v>42811.375</c:v>
                </c:pt>
                <c:pt idx="19">
                  <c:v>42811.395833333336</c:v>
                </c:pt>
                <c:pt idx="20">
                  <c:v>42811.416666666664</c:v>
                </c:pt>
                <c:pt idx="21">
                  <c:v>42811.4375</c:v>
                </c:pt>
                <c:pt idx="22">
                  <c:v>42811.458333333336</c:v>
                </c:pt>
                <c:pt idx="23">
                  <c:v>42811.479166666664</c:v>
                </c:pt>
                <c:pt idx="24">
                  <c:v>42811.5</c:v>
                </c:pt>
                <c:pt idx="25">
                  <c:v>42811.520833333336</c:v>
                </c:pt>
                <c:pt idx="26">
                  <c:v>42811.541666666664</c:v>
                </c:pt>
                <c:pt idx="27">
                  <c:v>42811.5625</c:v>
                </c:pt>
                <c:pt idx="28">
                  <c:v>42811.583333333336</c:v>
                </c:pt>
                <c:pt idx="29">
                  <c:v>42811.604166666664</c:v>
                </c:pt>
                <c:pt idx="30">
                  <c:v>42811.625</c:v>
                </c:pt>
                <c:pt idx="31">
                  <c:v>42811.645833333336</c:v>
                </c:pt>
                <c:pt idx="32">
                  <c:v>42811.666666666664</c:v>
                </c:pt>
                <c:pt idx="33">
                  <c:v>42811.6875</c:v>
                </c:pt>
                <c:pt idx="34">
                  <c:v>42811.708333333336</c:v>
                </c:pt>
                <c:pt idx="35">
                  <c:v>42811.729166666664</c:v>
                </c:pt>
                <c:pt idx="36">
                  <c:v>42811.75</c:v>
                </c:pt>
                <c:pt idx="37">
                  <c:v>42811.770833333336</c:v>
                </c:pt>
                <c:pt idx="38">
                  <c:v>42811.791666666664</c:v>
                </c:pt>
                <c:pt idx="39">
                  <c:v>42811.8125</c:v>
                </c:pt>
                <c:pt idx="40">
                  <c:v>42811.833333333336</c:v>
                </c:pt>
                <c:pt idx="41">
                  <c:v>42811.854166666664</c:v>
                </c:pt>
                <c:pt idx="42">
                  <c:v>42811.875</c:v>
                </c:pt>
                <c:pt idx="43">
                  <c:v>42811.895833333336</c:v>
                </c:pt>
                <c:pt idx="44">
                  <c:v>42811.916666666664</c:v>
                </c:pt>
                <c:pt idx="45">
                  <c:v>42811.9375</c:v>
                </c:pt>
                <c:pt idx="46">
                  <c:v>42811.958333333336</c:v>
                </c:pt>
                <c:pt idx="47">
                  <c:v>42811.979166666664</c:v>
                </c:pt>
              </c:numCache>
            </c:numRef>
          </c:xVal>
          <c:yVal>
            <c:numRef>
              <c:f>'Fig3'!$L$2:$L$49</c:f>
              <c:numCache>
                <c:formatCode>General</c:formatCode>
                <c:ptCount val="48"/>
                <c:pt idx="0">
                  <c:v>3.8</c:v>
                </c:pt>
                <c:pt idx="1">
                  <c:v>3.5</c:v>
                </c:pt>
                <c:pt idx="2">
                  <c:v>3.3</c:v>
                </c:pt>
                <c:pt idx="3">
                  <c:v>2.7</c:v>
                </c:pt>
                <c:pt idx="4">
                  <c:v>2.2999999999999998</c:v>
                </c:pt>
                <c:pt idx="5">
                  <c:v>2.8</c:v>
                </c:pt>
                <c:pt idx="6">
                  <c:v>3.1</c:v>
                </c:pt>
                <c:pt idx="7">
                  <c:v>4.5</c:v>
                </c:pt>
                <c:pt idx="8">
                  <c:v>4.7</c:v>
                </c:pt>
                <c:pt idx="9">
                  <c:v>4.8</c:v>
                </c:pt>
                <c:pt idx="10">
                  <c:v>2.4</c:v>
                </c:pt>
                <c:pt idx="11">
                  <c:v>3.3</c:v>
                </c:pt>
                <c:pt idx="12">
                  <c:v>2.9</c:v>
                </c:pt>
                <c:pt idx="13">
                  <c:v>3.3</c:v>
                </c:pt>
                <c:pt idx="14">
                  <c:v>8.4</c:v>
                </c:pt>
                <c:pt idx="15">
                  <c:v>9.5</c:v>
                </c:pt>
                <c:pt idx="16">
                  <c:v>11</c:v>
                </c:pt>
                <c:pt idx="17">
                  <c:v>10.4</c:v>
                </c:pt>
                <c:pt idx="18">
                  <c:v>11.6</c:v>
                </c:pt>
                <c:pt idx="19">
                  <c:v>12</c:v>
                </c:pt>
                <c:pt idx="20">
                  <c:v>7.4</c:v>
                </c:pt>
                <c:pt idx="21">
                  <c:v>6.2</c:v>
                </c:pt>
                <c:pt idx="22">
                  <c:v>10.9</c:v>
                </c:pt>
                <c:pt idx="23">
                  <c:v>9.1</c:v>
                </c:pt>
                <c:pt idx="24">
                  <c:v>8.4</c:v>
                </c:pt>
                <c:pt idx="25">
                  <c:v>7.1</c:v>
                </c:pt>
                <c:pt idx="26">
                  <c:v>8.1</c:v>
                </c:pt>
                <c:pt idx="27">
                  <c:v>8.8000000000000007</c:v>
                </c:pt>
                <c:pt idx="28">
                  <c:v>9.6</c:v>
                </c:pt>
                <c:pt idx="29">
                  <c:v>9.1</c:v>
                </c:pt>
                <c:pt idx="30">
                  <c:v>7.6</c:v>
                </c:pt>
                <c:pt idx="31">
                  <c:v>7.7</c:v>
                </c:pt>
                <c:pt idx="32">
                  <c:v>6.1</c:v>
                </c:pt>
                <c:pt idx="33">
                  <c:v>5.0999999999999996</c:v>
                </c:pt>
                <c:pt idx="34">
                  <c:v>5.9</c:v>
                </c:pt>
                <c:pt idx="35">
                  <c:v>4.5999999999999996</c:v>
                </c:pt>
                <c:pt idx="36">
                  <c:v>4.4000000000000004</c:v>
                </c:pt>
                <c:pt idx="37">
                  <c:v>4.3</c:v>
                </c:pt>
                <c:pt idx="38">
                  <c:v>4</c:v>
                </c:pt>
                <c:pt idx="39">
                  <c:v>4.3</c:v>
                </c:pt>
                <c:pt idx="40">
                  <c:v>4.0999999999999996</c:v>
                </c:pt>
                <c:pt idx="41">
                  <c:v>4.7</c:v>
                </c:pt>
                <c:pt idx="42">
                  <c:v>3.6</c:v>
                </c:pt>
                <c:pt idx="43">
                  <c:v>4.5999999999999996</c:v>
                </c:pt>
                <c:pt idx="44">
                  <c:v>4.7</c:v>
                </c:pt>
                <c:pt idx="45">
                  <c:v>4.5</c:v>
                </c:pt>
                <c:pt idx="46">
                  <c:v>4.2</c:v>
                </c:pt>
                <c:pt idx="47">
                  <c:v>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25-4C2C-9E47-636A6EB55F55}"/>
            </c:ext>
          </c:extLst>
        </c:ser>
        <c:ser>
          <c:idx val="3"/>
          <c:order val="3"/>
          <c:tx>
            <c:strRef>
              <c:f>'Fig3'!$M$1</c:f>
              <c:strCache>
                <c:ptCount val="1"/>
                <c:pt idx="0">
                  <c:v>Water supply rate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'Fig3'!$I$2:$I$49</c:f>
              <c:numCache>
                <c:formatCode>yyyy/m/d\ h:mm;@</c:formatCode>
                <c:ptCount val="48"/>
                <c:pt idx="0">
                  <c:v>42811</c:v>
                </c:pt>
                <c:pt idx="1">
                  <c:v>42811.020833333336</c:v>
                </c:pt>
                <c:pt idx="2">
                  <c:v>42811.041666666664</c:v>
                </c:pt>
                <c:pt idx="3">
                  <c:v>42811.0625</c:v>
                </c:pt>
                <c:pt idx="4">
                  <c:v>42811.083333333336</c:v>
                </c:pt>
                <c:pt idx="5">
                  <c:v>42811.104166666664</c:v>
                </c:pt>
                <c:pt idx="6">
                  <c:v>42811.125</c:v>
                </c:pt>
                <c:pt idx="7">
                  <c:v>42811.145833333336</c:v>
                </c:pt>
                <c:pt idx="8">
                  <c:v>42811.166666666664</c:v>
                </c:pt>
                <c:pt idx="9">
                  <c:v>42811.1875</c:v>
                </c:pt>
                <c:pt idx="10">
                  <c:v>42811.208333333336</c:v>
                </c:pt>
                <c:pt idx="11">
                  <c:v>42811.229166666664</c:v>
                </c:pt>
                <c:pt idx="12">
                  <c:v>42811.25</c:v>
                </c:pt>
                <c:pt idx="13">
                  <c:v>42811.270833333336</c:v>
                </c:pt>
                <c:pt idx="14">
                  <c:v>42811.291666666664</c:v>
                </c:pt>
                <c:pt idx="15">
                  <c:v>42811.3125</c:v>
                </c:pt>
                <c:pt idx="16">
                  <c:v>42811.333333333336</c:v>
                </c:pt>
                <c:pt idx="17">
                  <c:v>42811.354166666664</c:v>
                </c:pt>
                <c:pt idx="18">
                  <c:v>42811.375</c:v>
                </c:pt>
                <c:pt idx="19">
                  <c:v>42811.395833333336</c:v>
                </c:pt>
                <c:pt idx="20">
                  <c:v>42811.416666666664</c:v>
                </c:pt>
                <c:pt idx="21">
                  <c:v>42811.4375</c:v>
                </c:pt>
                <c:pt idx="22">
                  <c:v>42811.458333333336</c:v>
                </c:pt>
                <c:pt idx="23">
                  <c:v>42811.479166666664</c:v>
                </c:pt>
                <c:pt idx="24">
                  <c:v>42811.5</c:v>
                </c:pt>
                <c:pt idx="25">
                  <c:v>42811.520833333336</c:v>
                </c:pt>
                <c:pt idx="26">
                  <c:v>42811.541666666664</c:v>
                </c:pt>
                <c:pt idx="27">
                  <c:v>42811.5625</c:v>
                </c:pt>
                <c:pt idx="28">
                  <c:v>42811.583333333336</c:v>
                </c:pt>
                <c:pt idx="29">
                  <c:v>42811.604166666664</c:v>
                </c:pt>
                <c:pt idx="30">
                  <c:v>42811.625</c:v>
                </c:pt>
                <c:pt idx="31">
                  <c:v>42811.645833333336</c:v>
                </c:pt>
                <c:pt idx="32">
                  <c:v>42811.666666666664</c:v>
                </c:pt>
                <c:pt idx="33">
                  <c:v>42811.6875</c:v>
                </c:pt>
                <c:pt idx="34">
                  <c:v>42811.708333333336</c:v>
                </c:pt>
                <c:pt idx="35">
                  <c:v>42811.729166666664</c:v>
                </c:pt>
                <c:pt idx="36">
                  <c:v>42811.75</c:v>
                </c:pt>
                <c:pt idx="37">
                  <c:v>42811.770833333336</c:v>
                </c:pt>
                <c:pt idx="38">
                  <c:v>42811.791666666664</c:v>
                </c:pt>
                <c:pt idx="39">
                  <c:v>42811.8125</c:v>
                </c:pt>
                <c:pt idx="40">
                  <c:v>42811.833333333336</c:v>
                </c:pt>
                <c:pt idx="41">
                  <c:v>42811.854166666664</c:v>
                </c:pt>
                <c:pt idx="42">
                  <c:v>42811.875</c:v>
                </c:pt>
                <c:pt idx="43">
                  <c:v>42811.895833333336</c:v>
                </c:pt>
                <c:pt idx="44">
                  <c:v>42811.916666666664</c:v>
                </c:pt>
                <c:pt idx="45">
                  <c:v>42811.9375</c:v>
                </c:pt>
                <c:pt idx="46">
                  <c:v>42811.958333333336</c:v>
                </c:pt>
                <c:pt idx="47">
                  <c:v>42811.979166666664</c:v>
                </c:pt>
              </c:numCache>
            </c:numRef>
          </c:xVal>
          <c:yVal>
            <c:numRef>
              <c:f>'Fig3'!$M$2:$M$49</c:f>
              <c:numCache>
                <c:formatCode>0.0</c:formatCode>
                <c:ptCount val="48"/>
                <c:pt idx="0">
                  <c:v>5.2708333333333321</c:v>
                </c:pt>
                <c:pt idx="1">
                  <c:v>3.3958333333333335</c:v>
                </c:pt>
                <c:pt idx="2">
                  <c:v>3.2291666666666661</c:v>
                </c:pt>
                <c:pt idx="3">
                  <c:v>0.72916666666666474</c:v>
                </c:pt>
                <c:pt idx="4">
                  <c:v>2.8958333333333326</c:v>
                </c:pt>
                <c:pt idx="5">
                  <c:v>0.11805555555555358</c:v>
                </c:pt>
                <c:pt idx="6">
                  <c:v>0.81944444444444164</c:v>
                </c:pt>
                <c:pt idx="7">
                  <c:v>0</c:v>
                </c:pt>
                <c:pt idx="8">
                  <c:v>0.10416666666666312</c:v>
                </c:pt>
                <c:pt idx="9">
                  <c:v>0</c:v>
                </c:pt>
                <c:pt idx="10">
                  <c:v>1.2638888888888871</c:v>
                </c:pt>
                <c:pt idx="11">
                  <c:v>0.85416666666666774</c:v>
                </c:pt>
                <c:pt idx="12">
                  <c:v>8.0486111111111125</c:v>
                </c:pt>
                <c:pt idx="13">
                  <c:v>13.180555555555559</c:v>
                </c:pt>
                <c:pt idx="14">
                  <c:v>14.715277777777777</c:v>
                </c:pt>
                <c:pt idx="15">
                  <c:v>13.27777777777778</c:v>
                </c:pt>
                <c:pt idx="16">
                  <c:v>4.8055555555555562</c:v>
                </c:pt>
                <c:pt idx="17">
                  <c:v>2.1805555555555589</c:v>
                </c:pt>
                <c:pt idx="18">
                  <c:v>8.2569444444444464</c:v>
                </c:pt>
                <c:pt idx="19">
                  <c:v>6.9236111111111152</c:v>
                </c:pt>
                <c:pt idx="20">
                  <c:v>7.2777777777777795</c:v>
                </c:pt>
                <c:pt idx="21">
                  <c:v>2.5625</c:v>
                </c:pt>
                <c:pt idx="22">
                  <c:v>11.437500000000004</c:v>
                </c:pt>
                <c:pt idx="23">
                  <c:v>5.8402777777777795</c:v>
                </c:pt>
                <c:pt idx="24">
                  <c:v>6.9375000000000018</c:v>
                </c:pt>
                <c:pt idx="25">
                  <c:v>8.5486111111111089</c:v>
                </c:pt>
                <c:pt idx="26">
                  <c:v>7.2083333333333375</c:v>
                </c:pt>
                <c:pt idx="27">
                  <c:v>3.4374999999999991</c:v>
                </c:pt>
                <c:pt idx="28">
                  <c:v>1.8611111111111107</c:v>
                </c:pt>
                <c:pt idx="29">
                  <c:v>2.6319444444444455</c:v>
                </c:pt>
                <c:pt idx="30">
                  <c:v>4.7847222222222232</c:v>
                </c:pt>
                <c:pt idx="31">
                  <c:v>4.8472222222222232</c:v>
                </c:pt>
                <c:pt idx="32">
                  <c:v>6.8888888888888893</c:v>
                </c:pt>
                <c:pt idx="33">
                  <c:v>5.75</c:v>
                </c:pt>
                <c:pt idx="34">
                  <c:v>17.930555555555554</c:v>
                </c:pt>
                <c:pt idx="35">
                  <c:v>15.090277777777779</c:v>
                </c:pt>
                <c:pt idx="36">
                  <c:v>4.625</c:v>
                </c:pt>
                <c:pt idx="37">
                  <c:v>11.569444444444445</c:v>
                </c:pt>
                <c:pt idx="38">
                  <c:v>7.1388888888888893</c:v>
                </c:pt>
                <c:pt idx="39">
                  <c:v>3.5</c:v>
                </c:pt>
                <c:pt idx="40">
                  <c:v>1.8055555555555556</c:v>
                </c:pt>
                <c:pt idx="41">
                  <c:v>5.0208333333333348</c:v>
                </c:pt>
                <c:pt idx="42">
                  <c:v>7.5347222222222232</c:v>
                </c:pt>
                <c:pt idx="43">
                  <c:v>10.215277777777775</c:v>
                </c:pt>
                <c:pt idx="44">
                  <c:v>2.5555555555555531</c:v>
                </c:pt>
                <c:pt idx="45">
                  <c:v>5.1319444444444455</c:v>
                </c:pt>
                <c:pt idx="46">
                  <c:v>3.1736111111111089</c:v>
                </c:pt>
                <c:pt idx="47">
                  <c:v>1.4374999999999991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25-4C2C-9E47-636A6EB55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969039"/>
        <c:axId val="897754783"/>
      </c:scatterChart>
      <c:valAx>
        <c:axId val="982969039"/>
        <c:scaling>
          <c:orientation val="minMax"/>
          <c:max val="42812"/>
          <c:min val="428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897754783"/>
        <c:crosses val="autoZero"/>
        <c:crossBetween val="midCat"/>
        <c:majorUnit val="0.25"/>
      </c:valAx>
      <c:valAx>
        <c:axId val="897754783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Temperature(</a:t>
                </a:r>
                <a:r>
                  <a:rPr lang="ja-JP"/>
                  <a:t>℃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en-US"/>
                  <a:t>Supply rate(L min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98296903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7222222222222221E-2"/>
          <c:y val="5.7815689705449278E-4"/>
          <c:w val="0.94991819772528419"/>
          <c:h val="0.147287839020122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43503937007875"/>
          <c:y val="0.17129629629629628"/>
          <c:w val="0.80191907261592299"/>
          <c:h val="0.6466498979294254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'Fig4'!$J$1</c:f>
              <c:strCache>
                <c:ptCount val="1"/>
                <c:pt idx="0">
                  <c:v>exhaust in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ysDot"/>
              </a:ln>
              <a:effectLst/>
            </c:spPr>
          </c:marker>
          <c:xVal>
            <c:numRef>
              <c:f>'Fig4'!$I$2:$I$15</c:f>
              <c:numCache>
                <c:formatCode>[$-409]d\-mmm;@</c:formatCode>
                <c:ptCount val="14"/>
                <c:pt idx="0">
                  <c:v>42800</c:v>
                </c:pt>
                <c:pt idx="1">
                  <c:v>42801</c:v>
                </c:pt>
                <c:pt idx="2">
                  <c:v>42802</c:v>
                </c:pt>
                <c:pt idx="3">
                  <c:v>42803</c:v>
                </c:pt>
                <c:pt idx="4">
                  <c:v>42804</c:v>
                </c:pt>
                <c:pt idx="5">
                  <c:v>42805</c:v>
                </c:pt>
                <c:pt idx="6">
                  <c:v>42806</c:v>
                </c:pt>
                <c:pt idx="7">
                  <c:v>42807</c:v>
                </c:pt>
                <c:pt idx="8">
                  <c:v>42808</c:v>
                </c:pt>
                <c:pt idx="9">
                  <c:v>42809</c:v>
                </c:pt>
                <c:pt idx="10">
                  <c:v>42810</c:v>
                </c:pt>
                <c:pt idx="11">
                  <c:v>42811</c:v>
                </c:pt>
                <c:pt idx="12">
                  <c:v>42812</c:v>
                </c:pt>
                <c:pt idx="13">
                  <c:v>42813</c:v>
                </c:pt>
              </c:numCache>
            </c:numRef>
          </c:xVal>
          <c:yVal>
            <c:numRef>
              <c:f>'Fig4'!$J$2:$J$15</c:f>
              <c:numCache>
                <c:formatCode>0.0</c:formatCode>
                <c:ptCount val="14"/>
                <c:pt idx="0">
                  <c:v>66.629166666666677</c:v>
                </c:pt>
                <c:pt idx="1">
                  <c:v>64.339583333333323</c:v>
                </c:pt>
                <c:pt idx="2">
                  <c:v>61.112500000000018</c:v>
                </c:pt>
                <c:pt idx="3">
                  <c:v>40.01874999999999</c:v>
                </c:pt>
                <c:pt idx="4">
                  <c:v>61.560416666666676</c:v>
                </c:pt>
                <c:pt idx="5">
                  <c:v>54.949999999999996</c:v>
                </c:pt>
                <c:pt idx="6">
                  <c:v>65.770833333333329</c:v>
                </c:pt>
                <c:pt idx="7">
                  <c:v>65.102083333333326</c:v>
                </c:pt>
                <c:pt idx="8">
                  <c:v>66.204166666666666</c:v>
                </c:pt>
                <c:pt idx="9">
                  <c:v>65.547916666666694</c:v>
                </c:pt>
                <c:pt idx="10">
                  <c:v>66.450000000000031</c:v>
                </c:pt>
                <c:pt idx="11">
                  <c:v>65.293750000000003</c:v>
                </c:pt>
                <c:pt idx="12">
                  <c:v>63.235416666666687</c:v>
                </c:pt>
                <c:pt idx="13">
                  <c:v>65.604166666666643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32-4EE2-AEB6-44FAF5117284}"/>
            </c:ext>
          </c:extLst>
        </c:ser>
        <c:ser>
          <c:idx val="1"/>
          <c:order val="1"/>
          <c:tx>
            <c:strRef>
              <c:f>'Fig4'!$K$1</c:f>
              <c:strCache>
                <c:ptCount val="1"/>
                <c:pt idx="0">
                  <c:v>exhaust out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ysDot"/>
              </a:ln>
              <a:effectLst/>
            </c:spPr>
          </c:marker>
          <c:xVal>
            <c:numRef>
              <c:f>'Fig4'!$I$2:$I$15</c:f>
              <c:numCache>
                <c:formatCode>[$-409]d\-mmm;@</c:formatCode>
                <c:ptCount val="14"/>
                <c:pt idx="0">
                  <c:v>42800</c:v>
                </c:pt>
                <c:pt idx="1">
                  <c:v>42801</c:v>
                </c:pt>
                <c:pt idx="2">
                  <c:v>42802</c:v>
                </c:pt>
                <c:pt idx="3">
                  <c:v>42803</c:v>
                </c:pt>
                <c:pt idx="4">
                  <c:v>42804</c:v>
                </c:pt>
                <c:pt idx="5">
                  <c:v>42805</c:v>
                </c:pt>
                <c:pt idx="6">
                  <c:v>42806</c:v>
                </c:pt>
                <c:pt idx="7">
                  <c:v>42807</c:v>
                </c:pt>
                <c:pt idx="8">
                  <c:v>42808</c:v>
                </c:pt>
                <c:pt idx="9">
                  <c:v>42809</c:v>
                </c:pt>
                <c:pt idx="10">
                  <c:v>42810</c:v>
                </c:pt>
                <c:pt idx="11">
                  <c:v>42811</c:v>
                </c:pt>
                <c:pt idx="12">
                  <c:v>42812</c:v>
                </c:pt>
                <c:pt idx="13">
                  <c:v>42813</c:v>
                </c:pt>
              </c:numCache>
            </c:numRef>
          </c:xVal>
          <c:yVal>
            <c:numRef>
              <c:f>'Fig4'!$K$2:$K$15</c:f>
              <c:numCache>
                <c:formatCode>0.0</c:formatCode>
                <c:ptCount val="14"/>
                <c:pt idx="0">
                  <c:v>55.125000000000007</c:v>
                </c:pt>
                <c:pt idx="1">
                  <c:v>50.777083333333337</c:v>
                </c:pt>
                <c:pt idx="2">
                  <c:v>49.579166666666652</c:v>
                </c:pt>
                <c:pt idx="3">
                  <c:v>34.12083333333333</c:v>
                </c:pt>
                <c:pt idx="4">
                  <c:v>48.995833333333344</c:v>
                </c:pt>
                <c:pt idx="5">
                  <c:v>40.652083333333323</c:v>
                </c:pt>
                <c:pt idx="6">
                  <c:v>53.074999999999996</c:v>
                </c:pt>
                <c:pt idx="7">
                  <c:v>53.137499999999996</c:v>
                </c:pt>
                <c:pt idx="8">
                  <c:v>54.78125</c:v>
                </c:pt>
                <c:pt idx="9">
                  <c:v>53.385416666666679</c:v>
                </c:pt>
                <c:pt idx="10">
                  <c:v>54.712500000000013</c:v>
                </c:pt>
                <c:pt idx="11">
                  <c:v>54.245833333333337</c:v>
                </c:pt>
                <c:pt idx="12">
                  <c:v>51.897916666666667</c:v>
                </c:pt>
                <c:pt idx="13">
                  <c:v>53.545833333333348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32-4EE2-AEB6-44FAF5117284}"/>
            </c:ext>
          </c:extLst>
        </c:ser>
        <c:ser>
          <c:idx val="2"/>
          <c:order val="2"/>
          <c:tx>
            <c:strRef>
              <c:f>'Fig4'!$L$1</c:f>
              <c:strCache>
                <c:ptCount val="1"/>
                <c:pt idx="0">
                  <c:v>warmed water after HE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'Fig4'!$I$2:$I$15</c:f>
              <c:numCache>
                <c:formatCode>[$-409]d\-mmm;@</c:formatCode>
                <c:ptCount val="14"/>
                <c:pt idx="0">
                  <c:v>42800</c:v>
                </c:pt>
                <c:pt idx="1">
                  <c:v>42801</c:v>
                </c:pt>
                <c:pt idx="2">
                  <c:v>42802</c:v>
                </c:pt>
                <c:pt idx="3">
                  <c:v>42803</c:v>
                </c:pt>
                <c:pt idx="4">
                  <c:v>42804</c:v>
                </c:pt>
                <c:pt idx="5">
                  <c:v>42805</c:v>
                </c:pt>
                <c:pt idx="6">
                  <c:v>42806</c:v>
                </c:pt>
                <c:pt idx="7">
                  <c:v>42807</c:v>
                </c:pt>
                <c:pt idx="8">
                  <c:v>42808</c:v>
                </c:pt>
                <c:pt idx="9">
                  <c:v>42809</c:v>
                </c:pt>
                <c:pt idx="10">
                  <c:v>42810</c:v>
                </c:pt>
                <c:pt idx="11">
                  <c:v>42811</c:v>
                </c:pt>
                <c:pt idx="12">
                  <c:v>42812</c:v>
                </c:pt>
                <c:pt idx="13">
                  <c:v>42813</c:v>
                </c:pt>
              </c:numCache>
            </c:numRef>
          </c:xVal>
          <c:yVal>
            <c:numRef>
              <c:f>'Fig4'!$L$2:$L$15</c:f>
              <c:numCache>
                <c:formatCode>0.0</c:formatCode>
                <c:ptCount val="14"/>
                <c:pt idx="0">
                  <c:v>42.768750000000004</c:v>
                </c:pt>
                <c:pt idx="1">
                  <c:v>37.087499999999999</c:v>
                </c:pt>
                <c:pt idx="2">
                  <c:v>38.210416666666667</c:v>
                </c:pt>
                <c:pt idx="3">
                  <c:v>25.497916666666669</c:v>
                </c:pt>
                <c:pt idx="4">
                  <c:v>37.13333333333334</c:v>
                </c:pt>
                <c:pt idx="5">
                  <c:v>29.193750000000005</c:v>
                </c:pt>
                <c:pt idx="6">
                  <c:v>39.52291666666666</c:v>
                </c:pt>
                <c:pt idx="7">
                  <c:v>40.677083333333336</c:v>
                </c:pt>
                <c:pt idx="8">
                  <c:v>42.364583333333321</c:v>
                </c:pt>
                <c:pt idx="9">
                  <c:v>40.431250000000006</c:v>
                </c:pt>
                <c:pt idx="10">
                  <c:v>41.554166666666681</c:v>
                </c:pt>
                <c:pt idx="11">
                  <c:v>41.654166666666676</c:v>
                </c:pt>
                <c:pt idx="12">
                  <c:v>39.75416666666667</c:v>
                </c:pt>
                <c:pt idx="13">
                  <c:v>39.812499999999993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32-4EE2-AEB6-44FAF5117284}"/>
            </c:ext>
          </c:extLst>
        </c:ser>
        <c:ser>
          <c:idx val="3"/>
          <c:order val="3"/>
          <c:tx>
            <c:strRef>
              <c:f>'Fig4'!$M$1</c:f>
              <c:strCache>
                <c:ptCount val="1"/>
                <c:pt idx="0">
                  <c:v>fresh water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'Fig4'!$I$2:$I$15</c:f>
              <c:numCache>
                <c:formatCode>[$-409]d\-mmm;@</c:formatCode>
                <c:ptCount val="14"/>
                <c:pt idx="0">
                  <c:v>42800</c:v>
                </c:pt>
                <c:pt idx="1">
                  <c:v>42801</c:v>
                </c:pt>
                <c:pt idx="2">
                  <c:v>42802</c:v>
                </c:pt>
                <c:pt idx="3">
                  <c:v>42803</c:v>
                </c:pt>
                <c:pt idx="4">
                  <c:v>42804</c:v>
                </c:pt>
                <c:pt idx="5">
                  <c:v>42805</c:v>
                </c:pt>
                <c:pt idx="6">
                  <c:v>42806</c:v>
                </c:pt>
                <c:pt idx="7">
                  <c:v>42807</c:v>
                </c:pt>
                <c:pt idx="8">
                  <c:v>42808</c:v>
                </c:pt>
                <c:pt idx="9">
                  <c:v>42809</c:v>
                </c:pt>
                <c:pt idx="10">
                  <c:v>42810</c:v>
                </c:pt>
                <c:pt idx="11">
                  <c:v>42811</c:v>
                </c:pt>
                <c:pt idx="12">
                  <c:v>42812</c:v>
                </c:pt>
                <c:pt idx="13">
                  <c:v>42813</c:v>
                </c:pt>
              </c:numCache>
            </c:numRef>
          </c:xVal>
          <c:yVal>
            <c:numRef>
              <c:f>'Fig4'!$M$2:$M$15</c:f>
              <c:numCache>
                <c:formatCode>0.0</c:formatCode>
                <c:ptCount val="14"/>
                <c:pt idx="0">
                  <c:v>7.4103448275862061</c:v>
                </c:pt>
                <c:pt idx="1">
                  <c:v>6.7769230769230759</c:v>
                </c:pt>
                <c:pt idx="2">
                  <c:v>6.7416666666666663</c:v>
                </c:pt>
                <c:pt idx="3">
                  <c:v>6.0113636363636376</c:v>
                </c:pt>
                <c:pt idx="4">
                  <c:v>7.130769230769233</c:v>
                </c:pt>
                <c:pt idx="5">
                  <c:v>6.9449999999999985</c:v>
                </c:pt>
                <c:pt idx="6">
                  <c:v>7.1914285714285713</c:v>
                </c:pt>
                <c:pt idx="7">
                  <c:v>7.1078947368421046</c:v>
                </c:pt>
                <c:pt idx="8">
                  <c:v>7.2911764705882351</c:v>
                </c:pt>
                <c:pt idx="9">
                  <c:v>6.7135135135135124</c:v>
                </c:pt>
                <c:pt idx="10">
                  <c:v>6.9378378378378391</c:v>
                </c:pt>
                <c:pt idx="11">
                  <c:v>6.9666666666666668</c:v>
                </c:pt>
                <c:pt idx="12">
                  <c:v>7.3918918918918921</c:v>
                </c:pt>
                <c:pt idx="13">
                  <c:v>7.3434782608695652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32-4EE2-AEB6-44FAF5117284}"/>
            </c:ext>
          </c:extLst>
        </c:ser>
        <c:ser>
          <c:idx val="4"/>
          <c:order val="4"/>
          <c:tx>
            <c:strRef>
              <c:f>'Fig4'!$N$1</c:f>
              <c:strCache>
                <c:ptCount val="1"/>
                <c:pt idx="0">
                  <c:v>supplied water for cows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'Fig4'!$I$2:$I$15</c:f>
              <c:numCache>
                <c:formatCode>[$-409]d\-mmm;@</c:formatCode>
                <c:ptCount val="14"/>
                <c:pt idx="0">
                  <c:v>42800</c:v>
                </c:pt>
                <c:pt idx="1">
                  <c:v>42801</c:v>
                </c:pt>
                <c:pt idx="2">
                  <c:v>42802</c:v>
                </c:pt>
                <c:pt idx="3">
                  <c:v>42803</c:v>
                </c:pt>
                <c:pt idx="4">
                  <c:v>42804</c:v>
                </c:pt>
                <c:pt idx="5">
                  <c:v>42805</c:v>
                </c:pt>
                <c:pt idx="6">
                  <c:v>42806</c:v>
                </c:pt>
                <c:pt idx="7">
                  <c:v>42807</c:v>
                </c:pt>
                <c:pt idx="8">
                  <c:v>42808</c:v>
                </c:pt>
                <c:pt idx="9">
                  <c:v>42809</c:v>
                </c:pt>
                <c:pt idx="10">
                  <c:v>42810</c:v>
                </c:pt>
                <c:pt idx="11">
                  <c:v>42811</c:v>
                </c:pt>
                <c:pt idx="12">
                  <c:v>42812</c:v>
                </c:pt>
                <c:pt idx="13">
                  <c:v>42813</c:v>
                </c:pt>
              </c:numCache>
            </c:numRef>
          </c:xVal>
          <c:yVal>
            <c:numRef>
              <c:f>'Fig4'!$N$2:$N$15</c:f>
              <c:numCache>
                <c:formatCode>0.0</c:formatCode>
                <c:ptCount val="14"/>
                <c:pt idx="0">
                  <c:v>36.208333333333336</c:v>
                </c:pt>
                <c:pt idx="1">
                  <c:v>31.541666666666657</c:v>
                </c:pt>
                <c:pt idx="2">
                  <c:v>33.077083333333341</c:v>
                </c:pt>
                <c:pt idx="3">
                  <c:v>20.764583333333334</c:v>
                </c:pt>
                <c:pt idx="4">
                  <c:v>31.912499999999998</c:v>
                </c:pt>
                <c:pt idx="5">
                  <c:v>25.500000000000014</c:v>
                </c:pt>
                <c:pt idx="6">
                  <c:v>32.258333333333333</c:v>
                </c:pt>
                <c:pt idx="7">
                  <c:v>33.97291666666667</c:v>
                </c:pt>
                <c:pt idx="8">
                  <c:v>35.729166666666671</c:v>
                </c:pt>
                <c:pt idx="9">
                  <c:v>34.387500000000003</c:v>
                </c:pt>
                <c:pt idx="10">
                  <c:v>35.231250000000003</c:v>
                </c:pt>
                <c:pt idx="11">
                  <c:v>35.389583333333334</c:v>
                </c:pt>
                <c:pt idx="12">
                  <c:v>33.283333333333324</c:v>
                </c:pt>
                <c:pt idx="13">
                  <c:v>31.60208333333334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32-4EE2-AEB6-44FAF5117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280623"/>
        <c:axId val="1140332607"/>
      </c:scatterChart>
      <c:valAx>
        <c:axId val="1068280623"/>
        <c:scaling>
          <c:orientation val="minMax"/>
          <c:min val="42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2017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140332607"/>
        <c:crosses val="autoZero"/>
        <c:crossBetween val="midCat"/>
        <c:majorUnit val="2"/>
      </c:valAx>
      <c:valAx>
        <c:axId val="114033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/>
                  <a:t>Temperature(°C)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26313976377952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#,##0_);[Red]\(#,##0\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0682806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3.6931321084864399E-3"/>
          <c:y val="4.0492855059784246E-3"/>
          <c:w val="0.99261373578302714"/>
          <c:h val="0.130209973753280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457200</xdr:colOff>
      <xdr:row>16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F0F6DC2-3B3E-4DD6-8909-1B73053D7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6</xdr:col>
      <xdr:colOff>476250</xdr:colOff>
      <xdr:row>16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8F65DC2-C928-4309-9630-BEEEFB7E4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126422</xdr:colOff>
      <xdr:row>0</xdr:row>
      <xdr:rowOff>117764</xdr:rowOff>
    </xdr:from>
    <xdr:to>
      <xdr:col>6</xdr:col>
      <xdr:colOff>590549</xdr:colOff>
      <xdr:row>16</xdr:row>
      <xdr:rowOff>152400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40C5342-3B27-4812-9331-88A0A517D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AE89-E2F2-4153-860C-9593591E1AA1}">
  <dimension ref="J2:O22"/>
  <sheetViews>
    <sheetView tabSelected="1" zoomScale="115" zoomScaleNormal="115" workbookViewId="0">
      <selection activeCell="G20" sqref="G20"/>
    </sheetView>
  </sheetViews>
  <sheetFormatPr defaultRowHeight="13.5" x14ac:dyDescent="0.15"/>
  <cols>
    <col min="10" max="10" width="10.5" bestFit="1" customWidth="1"/>
  </cols>
  <sheetData>
    <row r="2" spans="10:15" x14ac:dyDescent="0.15">
      <c r="J2" s="29"/>
      <c r="K2" s="29" t="s">
        <v>110</v>
      </c>
      <c r="L2" s="29" t="s">
        <v>111</v>
      </c>
      <c r="M2" s="29" t="s">
        <v>112</v>
      </c>
      <c r="N2" s="29" t="s">
        <v>113</v>
      </c>
      <c r="O2" s="29" t="s">
        <v>55</v>
      </c>
    </row>
    <row r="3" spans="10:15" x14ac:dyDescent="0.15">
      <c r="J3" s="80">
        <v>42800</v>
      </c>
      <c r="K3" s="78">
        <v>6</v>
      </c>
      <c r="L3" s="78">
        <v>70</v>
      </c>
      <c r="M3" s="78">
        <v>70</v>
      </c>
      <c r="N3" s="78">
        <v>56</v>
      </c>
      <c r="O3" s="56">
        <v>66.629166666666677</v>
      </c>
    </row>
    <row r="4" spans="10:15" x14ac:dyDescent="0.15">
      <c r="J4" s="80">
        <v>42801</v>
      </c>
      <c r="K4" s="78">
        <v>6</v>
      </c>
      <c r="L4" s="78">
        <v>68</v>
      </c>
      <c r="M4" s="78">
        <v>66</v>
      </c>
      <c r="N4" s="78">
        <v>54</v>
      </c>
      <c r="O4" s="56">
        <v>64.339583333333323</v>
      </c>
    </row>
    <row r="5" spans="10:15" x14ac:dyDescent="0.15">
      <c r="J5" s="80">
        <v>42802</v>
      </c>
      <c r="K5" s="78">
        <v>6</v>
      </c>
      <c r="L5" s="78">
        <v>68</v>
      </c>
      <c r="M5" s="78">
        <v>66</v>
      </c>
      <c r="N5" s="78">
        <v>50</v>
      </c>
      <c r="O5" s="56">
        <v>61.112500000000018</v>
      </c>
    </row>
    <row r="6" spans="10:15" x14ac:dyDescent="0.15">
      <c r="J6" s="80">
        <v>42803</v>
      </c>
      <c r="K6" s="78">
        <v>5</v>
      </c>
      <c r="L6" s="78">
        <v>66</v>
      </c>
      <c r="M6" s="78">
        <v>60</v>
      </c>
      <c r="N6" s="78">
        <v>50</v>
      </c>
      <c r="O6" s="56">
        <v>40.01874999999999</v>
      </c>
    </row>
    <row r="7" spans="10:15" x14ac:dyDescent="0.15">
      <c r="J7" s="80">
        <v>42804</v>
      </c>
      <c r="K7" s="78">
        <v>6</v>
      </c>
      <c r="L7" s="78">
        <v>64</v>
      </c>
      <c r="M7" s="78">
        <v>62</v>
      </c>
      <c r="N7" s="78">
        <v>52</v>
      </c>
      <c r="O7" s="56">
        <v>61.560416666666676</v>
      </c>
    </row>
    <row r="8" spans="10:15" x14ac:dyDescent="0.15">
      <c r="J8" s="80">
        <v>42805</v>
      </c>
      <c r="K8" s="78">
        <v>6</v>
      </c>
      <c r="L8" s="78">
        <v>64</v>
      </c>
      <c r="M8" s="78">
        <v>60</v>
      </c>
      <c r="N8" s="78">
        <v>44</v>
      </c>
      <c r="O8" s="56">
        <v>54.949999999999996</v>
      </c>
    </row>
    <row r="9" spans="10:15" x14ac:dyDescent="0.15">
      <c r="J9" s="80">
        <v>42806</v>
      </c>
      <c r="K9" s="78">
        <v>0</v>
      </c>
      <c r="L9" s="78">
        <v>20</v>
      </c>
      <c r="M9" s="78">
        <v>20</v>
      </c>
      <c r="N9" s="78">
        <v>60</v>
      </c>
      <c r="O9" s="56">
        <v>65.770833333333329</v>
      </c>
    </row>
    <row r="10" spans="10:15" x14ac:dyDescent="0.15">
      <c r="J10" s="80">
        <v>42807</v>
      </c>
      <c r="K10" s="78">
        <v>5</v>
      </c>
      <c r="L10" s="78">
        <v>68</v>
      </c>
      <c r="M10" s="78">
        <v>66</v>
      </c>
      <c r="N10" s="78">
        <v>57</v>
      </c>
      <c r="O10" s="56">
        <v>65.102083333333326</v>
      </c>
    </row>
    <row r="11" spans="10:15" x14ac:dyDescent="0.15">
      <c r="J11" s="80">
        <v>42808</v>
      </c>
      <c r="K11" s="78">
        <v>6</v>
      </c>
      <c r="L11" s="78">
        <v>68</v>
      </c>
      <c r="M11" s="78">
        <v>68</v>
      </c>
      <c r="N11" s="78">
        <v>56</v>
      </c>
      <c r="O11" s="56">
        <v>66.204166666666666</v>
      </c>
    </row>
    <row r="12" spans="10:15" x14ac:dyDescent="0.15">
      <c r="J12" s="80">
        <v>42809</v>
      </c>
      <c r="K12" s="78">
        <v>6</v>
      </c>
      <c r="L12" s="78">
        <v>68</v>
      </c>
      <c r="M12" s="78">
        <v>66</v>
      </c>
      <c r="N12" s="78">
        <v>52</v>
      </c>
      <c r="O12" s="56">
        <v>65.547916666666694</v>
      </c>
    </row>
    <row r="13" spans="10:15" x14ac:dyDescent="0.15">
      <c r="J13" s="80">
        <v>42810</v>
      </c>
      <c r="K13" s="78">
        <v>6</v>
      </c>
      <c r="L13" s="78">
        <v>68</v>
      </c>
      <c r="M13" s="78">
        <v>68</v>
      </c>
      <c r="N13" s="78">
        <v>56</v>
      </c>
      <c r="O13" s="56">
        <v>66.450000000000031</v>
      </c>
    </row>
    <row r="14" spans="10:15" x14ac:dyDescent="0.15">
      <c r="J14" s="80">
        <v>42811</v>
      </c>
      <c r="K14" s="78">
        <v>5</v>
      </c>
      <c r="L14" s="78">
        <v>70</v>
      </c>
      <c r="M14" s="78">
        <v>68</v>
      </c>
      <c r="N14" s="78">
        <v>60</v>
      </c>
      <c r="O14" s="56">
        <v>65.293750000000003</v>
      </c>
    </row>
    <row r="15" spans="10:15" x14ac:dyDescent="0.15">
      <c r="J15" s="80">
        <v>42812</v>
      </c>
      <c r="K15" s="78">
        <v>6</v>
      </c>
      <c r="L15" s="78">
        <v>68</v>
      </c>
      <c r="M15" s="78">
        <v>60</v>
      </c>
      <c r="N15" s="78">
        <v>52</v>
      </c>
      <c r="O15" s="56">
        <v>63.235416666666687</v>
      </c>
    </row>
    <row r="16" spans="10:15" x14ac:dyDescent="0.15">
      <c r="J16" s="80">
        <v>42813</v>
      </c>
      <c r="K16" s="78">
        <v>6</v>
      </c>
      <c r="L16" s="78">
        <v>68</v>
      </c>
      <c r="M16" s="78">
        <v>68</v>
      </c>
      <c r="N16" s="78">
        <v>54</v>
      </c>
      <c r="O16" s="56">
        <v>65.604166666666643</v>
      </c>
    </row>
    <row r="17" spans="10:15" x14ac:dyDescent="0.15">
      <c r="J17" s="79"/>
      <c r="K17" s="78"/>
      <c r="L17" s="78"/>
      <c r="M17" s="78"/>
      <c r="N17" s="78"/>
      <c r="O17" s="29"/>
    </row>
    <row r="18" spans="10:15" x14ac:dyDescent="0.15">
      <c r="J18" s="29"/>
      <c r="K18" s="29"/>
      <c r="L18" s="29"/>
      <c r="M18" s="29"/>
      <c r="N18" s="29"/>
      <c r="O18" s="29"/>
    </row>
    <row r="19" spans="10:15" x14ac:dyDescent="0.15">
      <c r="J19" s="29"/>
      <c r="K19" s="29"/>
      <c r="L19" s="29"/>
      <c r="M19" s="29"/>
      <c r="N19" s="29"/>
      <c r="O19" s="29"/>
    </row>
    <row r="20" spans="10:15" x14ac:dyDescent="0.15">
      <c r="J20" s="29"/>
      <c r="K20" s="29"/>
      <c r="L20" s="29"/>
      <c r="M20" s="29"/>
      <c r="N20" s="29"/>
      <c r="O20" s="29"/>
    </row>
    <row r="21" spans="10:15" x14ac:dyDescent="0.15">
      <c r="J21" s="29"/>
      <c r="K21" s="29"/>
      <c r="L21" s="29"/>
      <c r="M21" s="29"/>
      <c r="N21" s="29"/>
      <c r="O21" s="29"/>
    </row>
    <row r="22" spans="10:15" x14ac:dyDescent="0.15">
      <c r="J22" s="29"/>
      <c r="K22" s="29"/>
      <c r="L22" s="29"/>
      <c r="M22" s="29"/>
      <c r="N22" s="29"/>
      <c r="O22" s="29"/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E7FC-1ED6-431B-9C94-20142D9A4F62}">
  <dimension ref="I1:Q49"/>
  <sheetViews>
    <sheetView workbookViewId="0">
      <selection activeCell="J3" sqref="J3"/>
    </sheetView>
  </sheetViews>
  <sheetFormatPr defaultRowHeight="13.5" x14ac:dyDescent="0.15"/>
  <cols>
    <col min="9" max="9" width="16.125" style="12" bestFit="1" customWidth="1"/>
    <col min="10" max="10" width="13.5" bestFit="1" customWidth="1"/>
    <col min="11" max="11" width="11.5" bestFit="1" customWidth="1"/>
    <col min="12" max="12" width="13.625" bestFit="1" customWidth="1"/>
    <col min="13" max="13" width="15.875" bestFit="1" customWidth="1"/>
    <col min="17" max="17" width="9" style="52"/>
  </cols>
  <sheetData>
    <row r="1" spans="9:13" x14ac:dyDescent="0.15">
      <c r="I1" t="s">
        <v>17</v>
      </c>
      <c r="J1" t="s">
        <v>18</v>
      </c>
      <c r="K1" t="s">
        <v>19</v>
      </c>
      <c r="L1" t="s">
        <v>20</v>
      </c>
      <c r="M1" t="s">
        <v>21</v>
      </c>
    </row>
    <row r="2" spans="9:13" x14ac:dyDescent="0.15">
      <c r="I2" s="12">
        <v>42811</v>
      </c>
      <c r="J2">
        <v>66.2</v>
      </c>
      <c r="K2">
        <v>36.799999999999997</v>
      </c>
      <c r="L2">
        <v>3.8</v>
      </c>
      <c r="M2" s="13">
        <v>5.2708333333333321</v>
      </c>
    </row>
    <row r="3" spans="9:13" x14ac:dyDescent="0.15">
      <c r="I3" s="12">
        <v>42811.020833333336</v>
      </c>
      <c r="J3">
        <v>66.599999999999994</v>
      </c>
      <c r="K3">
        <v>37</v>
      </c>
      <c r="L3">
        <v>3.5</v>
      </c>
      <c r="M3" s="13">
        <v>3.3958333333333335</v>
      </c>
    </row>
    <row r="4" spans="9:13" x14ac:dyDescent="0.15">
      <c r="I4" s="12">
        <v>42811.041666666664</v>
      </c>
      <c r="J4">
        <v>65.7</v>
      </c>
      <c r="K4">
        <v>37.200000000000003</v>
      </c>
      <c r="L4">
        <v>3.3</v>
      </c>
      <c r="M4" s="13">
        <v>3.2291666666666661</v>
      </c>
    </row>
    <row r="5" spans="9:13" x14ac:dyDescent="0.15">
      <c r="I5" s="12">
        <v>42811.0625</v>
      </c>
      <c r="J5">
        <v>65.3</v>
      </c>
      <c r="K5">
        <v>38.5</v>
      </c>
      <c r="L5">
        <v>2.7</v>
      </c>
      <c r="M5" s="13">
        <v>0.72916666666666474</v>
      </c>
    </row>
    <row r="6" spans="9:13" x14ac:dyDescent="0.15">
      <c r="I6" s="12">
        <v>42811.083333333336</v>
      </c>
      <c r="J6">
        <v>67.3</v>
      </c>
      <c r="K6">
        <v>39.299999999999997</v>
      </c>
      <c r="L6">
        <v>2.2999999999999998</v>
      </c>
      <c r="M6" s="13">
        <v>2.8958333333333326</v>
      </c>
    </row>
    <row r="7" spans="9:13" x14ac:dyDescent="0.15">
      <c r="I7" s="12">
        <v>42811.104166666664</v>
      </c>
      <c r="J7">
        <v>66.2</v>
      </c>
      <c r="K7">
        <v>39.9</v>
      </c>
      <c r="L7">
        <v>2.8</v>
      </c>
      <c r="M7" s="13">
        <v>0.11805555555555358</v>
      </c>
    </row>
    <row r="8" spans="9:13" x14ac:dyDescent="0.15">
      <c r="I8" s="12">
        <v>42811.125</v>
      </c>
      <c r="J8">
        <v>65.8</v>
      </c>
      <c r="K8">
        <v>40.799999999999997</v>
      </c>
      <c r="L8">
        <v>3.1</v>
      </c>
      <c r="M8" s="13">
        <v>0.81944444444444164</v>
      </c>
    </row>
    <row r="9" spans="9:13" x14ac:dyDescent="0.15">
      <c r="I9" s="12">
        <v>42811.145833333336</v>
      </c>
      <c r="J9">
        <v>67.3</v>
      </c>
      <c r="K9">
        <v>42</v>
      </c>
      <c r="L9">
        <v>4.5</v>
      </c>
      <c r="M9" s="13">
        <v>0</v>
      </c>
    </row>
    <row r="10" spans="9:13" x14ac:dyDescent="0.15">
      <c r="I10" s="12">
        <v>42811.166666666664</v>
      </c>
      <c r="J10">
        <v>66</v>
      </c>
      <c r="K10">
        <v>43.2</v>
      </c>
      <c r="L10">
        <v>4.7</v>
      </c>
      <c r="M10" s="13">
        <v>0.10416666666666312</v>
      </c>
    </row>
    <row r="11" spans="9:13" x14ac:dyDescent="0.15">
      <c r="I11" s="12">
        <v>42811.1875</v>
      </c>
      <c r="J11">
        <v>67.2</v>
      </c>
      <c r="K11">
        <v>44.1</v>
      </c>
      <c r="L11">
        <v>4.8</v>
      </c>
      <c r="M11" s="13">
        <v>0</v>
      </c>
    </row>
    <row r="12" spans="9:13" x14ac:dyDescent="0.15">
      <c r="I12" s="12">
        <v>42811.208333333336</v>
      </c>
      <c r="J12">
        <v>66.5</v>
      </c>
      <c r="K12">
        <v>45</v>
      </c>
      <c r="L12">
        <v>2.4</v>
      </c>
      <c r="M12" s="13">
        <v>1.2638888888888871</v>
      </c>
    </row>
    <row r="13" spans="9:13" x14ac:dyDescent="0.15">
      <c r="I13" s="12">
        <v>42811.229166666664</v>
      </c>
      <c r="J13">
        <v>64.8</v>
      </c>
      <c r="K13">
        <v>45.8</v>
      </c>
      <c r="L13">
        <v>3.3</v>
      </c>
      <c r="M13" s="13">
        <v>0.85416666666666774</v>
      </c>
    </row>
    <row r="14" spans="9:13" x14ac:dyDescent="0.15">
      <c r="I14" s="12">
        <v>42811.25</v>
      </c>
      <c r="J14">
        <v>65.400000000000006</v>
      </c>
      <c r="K14">
        <v>46</v>
      </c>
      <c r="L14">
        <v>2.9</v>
      </c>
      <c r="M14" s="13">
        <v>8.0486111111111125</v>
      </c>
    </row>
    <row r="15" spans="9:13" x14ac:dyDescent="0.15">
      <c r="I15" s="12">
        <v>42811.270833333336</v>
      </c>
      <c r="J15">
        <v>65.599999999999994</v>
      </c>
      <c r="K15">
        <v>45.3</v>
      </c>
      <c r="L15">
        <v>3.3</v>
      </c>
      <c r="M15" s="13">
        <v>13.180555555555559</v>
      </c>
    </row>
    <row r="16" spans="9:13" x14ac:dyDescent="0.15">
      <c r="I16" s="12">
        <v>42811.291666666664</v>
      </c>
      <c r="J16">
        <v>66.2</v>
      </c>
      <c r="K16">
        <v>41.6</v>
      </c>
      <c r="L16">
        <v>8.4</v>
      </c>
      <c r="M16" s="13">
        <v>14.715277777777777</v>
      </c>
    </row>
    <row r="17" spans="9:13" x14ac:dyDescent="0.15">
      <c r="I17" s="12">
        <v>42811.3125</v>
      </c>
      <c r="J17">
        <v>65.7</v>
      </c>
      <c r="K17">
        <v>37.1</v>
      </c>
      <c r="L17">
        <v>9.5</v>
      </c>
      <c r="M17" s="13">
        <v>13.27777777777778</v>
      </c>
    </row>
    <row r="18" spans="9:13" x14ac:dyDescent="0.15">
      <c r="I18" s="12">
        <v>42811.333333333336</v>
      </c>
      <c r="J18">
        <v>52.3</v>
      </c>
      <c r="K18">
        <v>32.4</v>
      </c>
      <c r="L18">
        <v>11</v>
      </c>
      <c r="M18" s="13">
        <v>4.8055555555555562</v>
      </c>
    </row>
    <row r="19" spans="9:13" x14ac:dyDescent="0.15">
      <c r="I19" s="12">
        <v>42811.354166666664</v>
      </c>
      <c r="J19">
        <v>54.6</v>
      </c>
      <c r="K19">
        <v>30.9</v>
      </c>
      <c r="L19">
        <v>10.4</v>
      </c>
      <c r="M19" s="13">
        <v>2.1805555555555589</v>
      </c>
    </row>
    <row r="20" spans="9:13" x14ac:dyDescent="0.15">
      <c r="I20" s="12">
        <v>42811.375</v>
      </c>
      <c r="J20">
        <v>61</v>
      </c>
      <c r="K20">
        <v>31.5</v>
      </c>
      <c r="L20">
        <v>11.6</v>
      </c>
      <c r="M20" s="13">
        <v>8.2569444444444464</v>
      </c>
    </row>
    <row r="21" spans="9:13" x14ac:dyDescent="0.15">
      <c r="I21" s="12">
        <v>42811.395833333336</v>
      </c>
      <c r="J21">
        <v>60.7</v>
      </c>
      <c r="K21">
        <v>32</v>
      </c>
      <c r="L21">
        <v>12</v>
      </c>
      <c r="M21" s="13">
        <v>6.9236111111111152</v>
      </c>
    </row>
    <row r="22" spans="9:13" x14ac:dyDescent="0.15">
      <c r="I22" s="12">
        <v>42811.416666666664</v>
      </c>
      <c r="J22">
        <v>61.5</v>
      </c>
      <c r="K22">
        <v>32.1</v>
      </c>
      <c r="L22">
        <v>7.4</v>
      </c>
      <c r="M22" s="13">
        <v>7.2777777777777795</v>
      </c>
    </row>
    <row r="23" spans="9:13" x14ac:dyDescent="0.15">
      <c r="I23" s="12">
        <v>42811.4375</v>
      </c>
      <c r="J23">
        <v>63.1</v>
      </c>
      <c r="K23">
        <v>32.4</v>
      </c>
      <c r="L23">
        <v>6.2</v>
      </c>
      <c r="M23" s="13">
        <v>2.5625</v>
      </c>
    </row>
    <row r="24" spans="9:13" x14ac:dyDescent="0.15">
      <c r="I24" s="12">
        <v>42811.458333333336</v>
      </c>
      <c r="J24">
        <v>63.3</v>
      </c>
      <c r="K24">
        <v>32.700000000000003</v>
      </c>
      <c r="L24">
        <v>10.9</v>
      </c>
      <c r="M24" s="13">
        <v>11.437500000000004</v>
      </c>
    </row>
    <row r="25" spans="9:13" x14ac:dyDescent="0.15">
      <c r="I25" s="12">
        <v>42811.479166666664</v>
      </c>
      <c r="J25">
        <v>64.3</v>
      </c>
      <c r="K25">
        <v>32.9</v>
      </c>
      <c r="L25">
        <v>9.1</v>
      </c>
      <c r="M25" s="13">
        <v>5.8402777777777795</v>
      </c>
    </row>
    <row r="26" spans="9:13" x14ac:dyDescent="0.15">
      <c r="I26" s="12">
        <v>42811.5</v>
      </c>
      <c r="J26">
        <v>61.9</v>
      </c>
      <c r="K26">
        <v>32.1</v>
      </c>
      <c r="L26">
        <v>8.4</v>
      </c>
      <c r="M26" s="13">
        <v>6.9375000000000018</v>
      </c>
    </row>
    <row r="27" spans="9:13" x14ac:dyDescent="0.15">
      <c r="I27" s="12">
        <v>42811.520833333336</v>
      </c>
      <c r="J27">
        <v>63.9</v>
      </c>
      <c r="K27">
        <v>31.8</v>
      </c>
      <c r="L27">
        <v>7.1</v>
      </c>
      <c r="M27" s="13">
        <v>8.5486111111111089</v>
      </c>
    </row>
    <row r="28" spans="9:13" x14ac:dyDescent="0.15">
      <c r="I28" s="12">
        <v>42811.541666666664</v>
      </c>
      <c r="J28">
        <v>63.8</v>
      </c>
      <c r="K28">
        <v>32.1</v>
      </c>
      <c r="L28">
        <v>8.1</v>
      </c>
      <c r="M28" s="13">
        <v>7.2083333333333375</v>
      </c>
    </row>
    <row r="29" spans="9:13" x14ac:dyDescent="0.15">
      <c r="I29" s="12">
        <v>42811.5625</v>
      </c>
      <c r="J29">
        <v>63.6</v>
      </c>
      <c r="K29">
        <v>32.200000000000003</v>
      </c>
      <c r="L29">
        <v>8.8000000000000007</v>
      </c>
      <c r="M29" s="13">
        <v>3.4374999999999991</v>
      </c>
    </row>
    <row r="30" spans="9:13" x14ac:dyDescent="0.15">
      <c r="I30" s="12">
        <v>42811.583333333336</v>
      </c>
      <c r="J30">
        <v>63.2</v>
      </c>
      <c r="K30">
        <v>33.5</v>
      </c>
      <c r="L30">
        <v>9.6</v>
      </c>
      <c r="M30" s="13">
        <v>1.8611111111111107</v>
      </c>
    </row>
    <row r="31" spans="9:13" x14ac:dyDescent="0.15">
      <c r="I31" s="12">
        <v>42811.604166666664</v>
      </c>
      <c r="J31">
        <v>62.6</v>
      </c>
      <c r="K31">
        <v>35.1</v>
      </c>
      <c r="L31">
        <v>9.1</v>
      </c>
      <c r="M31" s="13">
        <v>2.6319444444444455</v>
      </c>
    </row>
    <row r="32" spans="9:13" x14ac:dyDescent="0.15">
      <c r="I32" s="12">
        <v>42811.625</v>
      </c>
      <c r="J32">
        <v>61.7</v>
      </c>
      <c r="K32">
        <v>36.200000000000003</v>
      </c>
      <c r="L32">
        <v>7.6</v>
      </c>
      <c r="M32" s="13">
        <v>4.7847222222222232</v>
      </c>
    </row>
    <row r="33" spans="9:13" x14ac:dyDescent="0.15">
      <c r="I33" s="12">
        <v>42811.645833333336</v>
      </c>
      <c r="J33">
        <v>63.2</v>
      </c>
      <c r="K33">
        <v>35.799999999999997</v>
      </c>
      <c r="L33">
        <v>7.7</v>
      </c>
      <c r="M33" s="13">
        <v>4.8472222222222232</v>
      </c>
    </row>
    <row r="34" spans="9:13" x14ac:dyDescent="0.15">
      <c r="I34" s="12">
        <v>42811.666666666664</v>
      </c>
      <c r="J34">
        <v>62</v>
      </c>
      <c r="K34">
        <v>35.799999999999997</v>
      </c>
      <c r="L34">
        <v>6.1</v>
      </c>
      <c r="M34" s="13">
        <v>6.8888888888888893</v>
      </c>
    </row>
    <row r="35" spans="9:13" x14ac:dyDescent="0.15">
      <c r="I35" s="12">
        <v>42811.6875</v>
      </c>
      <c r="J35">
        <v>62.2</v>
      </c>
      <c r="K35">
        <v>35.4</v>
      </c>
      <c r="L35">
        <v>5.0999999999999996</v>
      </c>
      <c r="M35" s="13">
        <v>5.75</v>
      </c>
    </row>
    <row r="36" spans="9:13" x14ac:dyDescent="0.15">
      <c r="I36" s="12">
        <v>42811.708333333336</v>
      </c>
      <c r="J36">
        <v>63.7</v>
      </c>
      <c r="K36">
        <v>35</v>
      </c>
      <c r="L36">
        <v>5.9</v>
      </c>
      <c r="M36" s="13">
        <v>17.930555555555554</v>
      </c>
    </row>
    <row r="37" spans="9:13" x14ac:dyDescent="0.15">
      <c r="I37" s="12">
        <v>42811.729166666664</v>
      </c>
      <c r="J37">
        <v>55.2</v>
      </c>
      <c r="K37">
        <v>34</v>
      </c>
      <c r="L37">
        <v>4.5999999999999996</v>
      </c>
      <c r="M37" s="13">
        <v>15.090277777777779</v>
      </c>
    </row>
    <row r="38" spans="9:13" x14ac:dyDescent="0.15">
      <c r="I38" s="12">
        <v>42811.75</v>
      </c>
      <c r="J38">
        <v>51.7</v>
      </c>
      <c r="K38">
        <v>27.9</v>
      </c>
      <c r="L38">
        <v>4.4000000000000004</v>
      </c>
      <c r="M38" s="13">
        <v>4.625</v>
      </c>
    </row>
    <row r="39" spans="9:13" x14ac:dyDescent="0.15">
      <c r="I39" s="12">
        <v>42811.770833333336</v>
      </c>
      <c r="J39">
        <v>52.5</v>
      </c>
      <c r="K39">
        <v>28.4</v>
      </c>
      <c r="L39">
        <v>4.3</v>
      </c>
      <c r="M39" s="13">
        <v>11.569444444444445</v>
      </c>
    </row>
    <row r="40" spans="9:13" x14ac:dyDescent="0.15">
      <c r="I40" s="12">
        <v>42811.791666666664</v>
      </c>
      <c r="J40">
        <v>61.6</v>
      </c>
      <c r="K40">
        <v>28.5</v>
      </c>
      <c r="L40">
        <v>4</v>
      </c>
      <c r="M40" s="13">
        <v>7.1388888888888893</v>
      </c>
    </row>
    <row r="41" spans="9:13" x14ac:dyDescent="0.15">
      <c r="I41" s="12">
        <v>42811.8125</v>
      </c>
      <c r="J41">
        <v>63.5</v>
      </c>
      <c r="K41">
        <v>28.1</v>
      </c>
      <c r="L41">
        <v>4.3</v>
      </c>
      <c r="M41" s="13">
        <v>3.5</v>
      </c>
    </row>
    <row r="42" spans="9:13" x14ac:dyDescent="0.15">
      <c r="I42" s="12">
        <v>42811.833333333336</v>
      </c>
      <c r="J42">
        <v>62.9</v>
      </c>
      <c r="K42">
        <v>29.2</v>
      </c>
      <c r="L42">
        <v>4.0999999999999996</v>
      </c>
      <c r="M42" s="13">
        <v>1.8055555555555556</v>
      </c>
    </row>
    <row r="43" spans="9:13" x14ac:dyDescent="0.15">
      <c r="I43" s="12">
        <v>42811.854166666664</v>
      </c>
      <c r="J43">
        <v>63.5</v>
      </c>
      <c r="K43">
        <v>31.5</v>
      </c>
      <c r="L43">
        <v>4.7</v>
      </c>
      <c r="M43" s="13">
        <v>5.0208333333333348</v>
      </c>
    </row>
    <row r="44" spans="9:13" x14ac:dyDescent="0.15">
      <c r="I44" s="12">
        <v>42811.875</v>
      </c>
      <c r="J44">
        <v>61.3</v>
      </c>
      <c r="K44">
        <v>32.4</v>
      </c>
      <c r="L44">
        <v>3.6</v>
      </c>
      <c r="M44" s="13">
        <v>7.5347222222222232</v>
      </c>
    </row>
    <row r="45" spans="9:13" x14ac:dyDescent="0.15">
      <c r="I45" s="12">
        <v>42811.895833333336</v>
      </c>
      <c r="J45">
        <v>65.5</v>
      </c>
      <c r="K45">
        <v>32.6</v>
      </c>
      <c r="L45">
        <v>4.5999999999999996</v>
      </c>
      <c r="M45" s="13">
        <v>10.215277777777775</v>
      </c>
    </row>
    <row r="46" spans="9:13" x14ac:dyDescent="0.15">
      <c r="I46" s="12">
        <v>42811.916666666664</v>
      </c>
      <c r="J46">
        <v>64.099999999999994</v>
      </c>
      <c r="K46">
        <v>33.1</v>
      </c>
      <c r="L46">
        <v>4.7</v>
      </c>
      <c r="M46" s="13">
        <v>2.5555555555555531</v>
      </c>
    </row>
    <row r="47" spans="9:13" x14ac:dyDescent="0.15">
      <c r="I47" s="12">
        <v>42811.9375</v>
      </c>
      <c r="J47">
        <v>64.5</v>
      </c>
      <c r="K47">
        <v>33.200000000000003</v>
      </c>
      <c r="L47">
        <v>4.5</v>
      </c>
      <c r="M47" s="13">
        <v>5.1319444444444455</v>
      </c>
    </row>
    <row r="48" spans="9:13" x14ac:dyDescent="0.15">
      <c r="I48" s="12">
        <v>42811.958333333336</v>
      </c>
      <c r="J48">
        <v>65.900000000000006</v>
      </c>
      <c r="K48">
        <v>33.6</v>
      </c>
      <c r="L48">
        <v>4.2</v>
      </c>
      <c r="M48" s="13">
        <v>3.1736111111111089</v>
      </c>
    </row>
    <row r="49" spans="9:13" x14ac:dyDescent="0.15">
      <c r="I49" s="12">
        <v>42811.979166666664</v>
      </c>
      <c r="J49">
        <v>66.099999999999994</v>
      </c>
      <c r="K49">
        <v>34.700000000000003</v>
      </c>
      <c r="L49">
        <v>3.4</v>
      </c>
      <c r="M49" s="13">
        <v>1.4374999999999991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978A-8988-44A8-802B-2545EBC26542}">
  <dimension ref="I1:R23"/>
  <sheetViews>
    <sheetView topLeftCell="C1" zoomScale="130" zoomScaleNormal="130" workbookViewId="0">
      <selection activeCell="I26" sqref="I26:I27"/>
    </sheetView>
  </sheetViews>
  <sheetFormatPr defaultRowHeight="13.5" x14ac:dyDescent="0.15"/>
  <cols>
    <col min="9" max="9" width="10.375" bestFit="1" customWidth="1"/>
  </cols>
  <sheetData>
    <row r="1" spans="9:16" x14ac:dyDescent="0.15">
      <c r="J1" t="s">
        <v>104</v>
      </c>
      <c r="K1" t="s">
        <v>105</v>
      </c>
      <c r="L1" t="s">
        <v>109</v>
      </c>
      <c r="M1" t="s">
        <v>106</v>
      </c>
      <c r="N1" t="s">
        <v>107</v>
      </c>
      <c r="P1" t="s">
        <v>108</v>
      </c>
    </row>
    <row r="2" spans="9:16" x14ac:dyDescent="0.15">
      <c r="I2" s="77">
        <v>42800</v>
      </c>
      <c r="J2" s="13">
        <v>66.629166666666677</v>
      </c>
      <c r="K2" s="13">
        <v>55.125000000000007</v>
      </c>
      <c r="L2" s="13">
        <v>42.768750000000004</v>
      </c>
      <c r="M2" s="13">
        <v>7.4103448275862061</v>
      </c>
      <c r="N2" s="13">
        <v>36.208333333333336</v>
      </c>
      <c r="O2" s="13"/>
      <c r="P2" s="13">
        <v>7.6625000000000005</v>
      </c>
    </row>
    <row r="3" spans="9:16" x14ac:dyDescent="0.15">
      <c r="I3" s="77">
        <v>42801</v>
      </c>
      <c r="J3" s="13">
        <v>64.339583333333323</v>
      </c>
      <c r="K3" s="13">
        <v>50.777083333333337</v>
      </c>
      <c r="L3" s="13">
        <v>37.087499999999999</v>
      </c>
      <c r="M3" s="13">
        <v>6.7769230769230759</v>
      </c>
      <c r="N3" s="13">
        <v>31.541666666666657</v>
      </c>
      <c r="O3" s="13"/>
      <c r="P3" s="13">
        <v>2.6750000000000007</v>
      </c>
    </row>
    <row r="4" spans="9:16" x14ac:dyDescent="0.15">
      <c r="I4" s="77">
        <v>42802</v>
      </c>
      <c r="J4" s="13">
        <v>61.112500000000018</v>
      </c>
      <c r="K4" s="13">
        <v>49.579166666666652</v>
      </c>
      <c r="L4" s="13">
        <v>38.210416666666667</v>
      </c>
      <c r="M4" s="13">
        <v>6.7416666666666663</v>
      </c>
      <c r="N4" s="13">
        <v>33.077083333333341</v>
      </c>
      <c r="O4" s="13"/>
      <c r="P4" s="13">
        <v>1.9020833333333333</v>
      </c>
    </row>
    <row r="5" spans="9:16" x14ac:dyDescent="0.15">
      <c r="I5" s="77">
        <v>42803</v>
      </c>
      <c r="J5" s="13">
        <v>40.01874999999999</v>
      </c>
      <c r="K5" s="13">
        <v>34.12083333333333</v>
      </c>
      <c r="L5" s="13">
        <v>25.497916666666669</v>
      </c>
      <c r="M5" s="13">
        <v>6.0113636363636376</v>
      </c>
      <c r="N5" s="13">
        <v>20.764583333333334</v>
      </c>
      <c r="O5" s="13"/>
      <c r="P5" s="13">
        <v>4.5270833333333336</v>
      </c>
    </row>
    <row r="6" spans="9:16" x14ac:dyDescent="0.15">
      <c r="I6" s="77">
        <v>42804</v>
      </c>
      <c r="J6" s="13">
        <v>61.560416666666676</v>
      </c>
      <c r="K6" s="13">
        <v>48.995833333333344</v>
      </c>
      <c r="L6" s="13">
        <v>37.13333333333334</v>
      </c>
      <c r="M6" s="13">
        <v>7.130769230769233</v>
      </c>
      <c r="N6" s="13">
        <v>31.912499999999998</v>
      </c>
      <c r="O6" s="13"/>
      <c r="P6" s="13">
        <v>5.1062499999999993</v>
      </c>
    </row>
    <row r="7" spans="9:16" x14ac:dyDescent="0.15">
      <c r="I7" s="77">
        <v>42805</v>
      </c>
      <c r="J7" s="13">
        <v>54.949999999999996</v>
      </c>
      <c r="K7" s="13">
        <v>40.652083333333323</v>
      </c>
      <c r="L7" s="13">
        <v>29.193750000000005</v>
      </c>
      <c r="M7" s="13">
        <v>6.9449999999999985</v>
      </c>
      <c r="N7" s="13">
        <v>25.500000000000014</v>
      </c>
      <c r="O7" s="13"/>
      <c r="P7" s="13">
        <v>4.2937500000000002</v>
      </c>
    </row>
    <row r="8" spans="9:16" x14ac:dyDescent="0.15">
      <c r="I8" s="77">
        <v>42806</v>
      </c>
      <c r="J8" s="13">
        <v>65.770833333333329</v>
      </c>
      <c r="K8" s="13">
        <v>53.074999999999996</v>
      </c>
      <c r="L8" s="13">
        <v>39.52291666666666</v>
      </c>
      <c r="M8" s="13">
        <v>7.1914285714285713</v>
      </c>
      <c r="N8" s="13">
        <v>32.258333333333333</v>
      </c>
      <c r="O8" s="13"/>
      <c r="P8" s="13">
        <v>5.1291666666666664</v>
      </c>
    </row>
    <row r="9" spans="9:16" x14ac:dyDescent="0.15">
      <c r="I9" s="77">
        <v>42807</v>
      </c>
      <c r="J9" s="13">
        <v>65.102083333333326</v>
      </c>
      <c r="K9" s="13">
        <v>53.137499999999996</v>
      </c>
      <c r="L9" s="13">
        <v>40.677083333333336</v>
      </c>
      <c r="M9" s="13">
        <v>7.1078947368421046</v>
      </c>
      <c r="N9" s="13">
        <v>33.97291666666667</v>
      </c>
      <c r="O9" s="13"/>
      <c r="P9" s="13">
        <v>5.9291666666666698</v>
      </c>
    </row>
    <row r="10" spans="9:16" x14ac:dyDescent="0.15">
      <c r="I10" s="77">
        <v>42808</v>
      </c>
      <c r="J10" s="13">
        <v>66.204166666666666</v>
      </c>
      <c r="K10" s="13">
        <v>54.78125</v>
      </c>
      <c r="L10" s="13">
        <v>42.364583333333321</v>
      </c>
      <c r="M10" s="13">
        <v>7.2911764705882351</v>
      </c>
      <c r="N10" s="13">
        <v>35.729166666666671</v>
      </c>
      <c r="O10" s="13"/>
      <c r="P10" s="13">
        <v>6.5229166666666663</v>
      </c>
    </row>
    <row r="11" spans="9:16" x14ac:dyDescent="0.15">
      <c r="I11" s="77">
        <v>42809</v>
      </c>
      <c r="J11" s="13">
        <v>65.547916666666694</v>
      </c>
      <c r="K11" s="13">
        <v>53.385416666666679</v>
      </c>
      <c r="L11" s="13">
        <v>40.431250000000006</v>
      </c>
      <c r="M11" s="13">
        <v>6.7135135135135124</v>
      </c>
      <c r="N11" s="13">
        <v>34.387500000000003</v>
      </c>
      <c r="O11" s="13"/>
      <c r="P11" s="13">
        <v>3.5208333333333344</v>
      </c>
    </row>
    <row r="12" spans="9:16" x14ac:dyDescent="0.15">
      <c r="I12" s="77">
        <v>42810</v>
      </c>
      <c r="J12" s="13">
        <v>66.450000000000031</v>
      </c>
      <c r="K12" s="13">
        <v>54.712500000000013</v>
      </c>
      <c r="L12" s="13">
        <v>41.554166666666681</v>
      </c>
      <c r="M12" s="13">
        <v>6.9378378378378391</v>
      </c>
      <c r="N12" s="13">
        <v>35.231250000000003</v>
      </c>
      <c r="O12" s="13"/>
      <c r="P12" s="13">
        <v>5.989583333333333</v>
      </c>
    </row>
    <row r="13" spans="9:16" x14ac:dyDescent="0.15">
      <c r="I13" s="77">
        <v>42811</v>
      </c>
      <c r="J13" s="13">
        <v>65.293750000000003</v>
      </c>
      <c r="K13" s="13">
        <v>54.245833333333337</v>
      </c>
      <c r="L13" s="13">
        <v>41.654166666666676</v>
      </c>
      <c r="M13" s="13">
        <v>6.9666666666666668</v>
      </c>
      <c r="N13" s="13">
        <v>35.389583333333334</v>
      </c>
      <c r="O13" s="13"/>
      <c r="P13" s="13">
        <v>5.8916666666666657</v>
      </c>
    </row>
    <row r="14" spans="9:16" x14ac:dyDescent="0.15">
      <c r="I14" s="77">
        <v>42812</v>
      </c>
      <c r="J14" s="13">
        <v>63.235416666666687</v>
      </c>
      <c r="K14" s="13">
        <v>51.897916666666667</v>
      </c>
      <c r="L14" s="13">
        <v>39.75416666666667</v>
      </c>
      <c r="M14" s="13">
        <v>7.3918918918918921</v>
      </c>
      <c r="N14" s="13">
        <v>33.283333333333324</v>
      </c>
      <c r="O14" s="13"/>
      <c r="P14" s="13">
        <v>7.3312500000000007</v>
      </c>
    </row>
    <row r="15" spans="9:16" x14ac:dyDescent="0.15">
      <c r="I15" s="77">
        <v>42813</v>
      </c>
      <c r="J15" s="13">
        <v>65.604166666666643</v>
      </c>
      <c r="K15" s="13">
        <v>53.545833333333348</v>
      </c>
      <c r="L15" s="13">
        <v>39.812499999999993</v>
      </c>
      <c r="M15" s="13">
        <v>7.3434782608695652</v>
      </c>
      <c r="N15" s="13">
        <v>31.60208333333334</v>
      </c>
      <c r="O15" s="13"/>
      <c r="P15" s="13">
        <v>7.6333333333333364</v>
      </c>
    </row>
    <row r="17" spans="10:18" x14ac:dyDescent="0.15">
      <c r="J17" s="13">
        <f>+AVERAGE(J2:J15)</f>
        <v>62.27276785714286</v>
      </c>
      <c r="K17" s="13"/>
      <c r="L17" s="13"/>
      <c r="M17" s="13">
        <f t="shared" ref="M17:P17" si="0">+AVERAGE(M2:M15)</f>
        <v>6.9971396705676563</v>
      </c>
      <c r="N17" s="13">
        <f t="shared" si="0"/>
        <v>32.204166666666666</v>
      </c>
      <c r="O17" s="13"/>
      <c r="P17" s="13">
        <f t="shared" si="0"/>
        <v>5.2938988095238102</v>
      </c>
    </row>
    <row r="21" spans="10:18" ht="15" x14ac:dyDescent="0.15">
      <c r="R21" s="1"/>
    </row>
    <row r="23" spans="10:18" ht="15" x14ac:dyDescent="0.15">
      <c r="R23" s="1"/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FD47-0772-45F9-B288-372B266985A1}">
  <dimension ref="A1:C17"/>
  <sheetViews>
    <sheetView showGridLines="0" workbookViewId="0">
      <selection activeCell="A16" sqref="A16"/>
    </sheetView>
  </sheetViews>
  <sheetFormatPr defaultRowHeight="13.5" x14ac:dyDescent="0.15"/>
  <cols>
    <col min="1" max="1" width="27.125" bestFit="1" customWidth="1"/>
    <col min="2" max="2" width="14.5" bestFit="1" customWidth="1"/>
    <col min="3" max="3" width="7.375" bestFit="1" customWidth="1"/>
  </cols>
  <sheetData>
    <row r="1" spans="1:3" ht="14.25" thickBot="1" x14ac:dyDescent="0.2"/>
    <row r="2" spans="1:3" ht="15" customHeight="1" thickTop="1" x14ac:dyDescent="0.15">
      <c r="A2" s="101"/>
      <c r="B2" s="102" t="s">
        <v>22</v>
      </c>
      <c r="C2" s="102"/>
    </row>
    <row r="3" spans="1:3" ht="15" customHeight="1" x14ac:dyDescent="0.15">
      <c r="A3" s="81"/>
      <c r="B3" s="82" t="s">
        <v>23</v>
      </c>
      <c r="C3" s="82"/>
    </row>
    <row r="4" spans="1:3" ht="15.75" x14ac:dyDescent="0.15">
      <c r="A4" s="39" t="s">
        <v>24</v>
      </c>
      <c r="B4" s="83" t="s">
        <v>25</v>
      </c>
      <c r="C4" s="83"/>
    </row>
    <row r="5" spans="1:3" ht="15.75" x14ac:dyDescent="0.15">
      <c r="A5" s="40" t="s">
        <v>26</v>
      </c>
      <c r="B5" s="84" t="s">
        <v>27</v>
      </c>
      <c r="C5" s="84"/>
    </row>
    <row r="6" spans="1:3" ht="15.75" x14ac:dyDescent="0.15">
      <c r="A6" s="40" t="s">
        <v>28</v>
      </c>
      <c r="B6" s="51" t="s">
        <v>29</v>
      </c>
      <c r="C6" s="40" t="s">
        <v>30</v>
      </c>
    </row>
    <row r="7" spans="1:3" ht="15.75" x14ac:dyDescent="0.15">
      <c r="A7" s="40" t="s">
        <v>31</v>
      </c>
      <c r="B7" s="51">
        <v>75</v>
      </c>
      <c r="C7" s="40" t="s">
        <v>32</v>
      </c>
    </row>
    <row r="8" spans="1:3" ht="18.75" x14ac:dyDescent="0.15">
      <c r="A8" s="40" t="s">
        <v>33</v>
      </c>
      <c r="B8" s="51">
        <v>9.1999999999999993</v>
      </c>
      <c r="C8" s="40" t="s">
        <v>50</v>
      </c>
    </row>
    <row r="9" spans="1:3" ht="18.75" x14ac:dyDescent="0.15">
      <c r="A9" s="40" t="s">
        <v>34</v>
      </c>
      <c r="B9" s="51">
        <v>123</v>
      </c>
      <c r="C9" s="40" t="s">
        <v>51</v>
      </c>
    </row>
    <row r="10" spans="1:3" ht="15.75" x14ac:dyDescent="0.15">
      <c r="A10" s="40" t="s">
        <v>35</v>
      </c>
      <c r="B10" s="51">
        <v>43</v>
      </c>
      <c r="C10" s="40" t="s">
        <v>36</v>
      </c>
    </row>
    <row r="11" spans="1:3" ht="15.75" x14ac:dyDescent="0.15">
      <c r="A11" s="41" t="s">
        <v>37</v>
      </c>
      <c r="B11" s="41">
        <v>65</v>
      </c>
      <c r="C11" s="41" t="s">
        <v>38</v>
      </c>
    </row>
    <row r="16" spans="1:3" x14ac:dyDescent="0.15">
      <c r="A16" s="100"/>
    </row>
    <row r="17" spans="1:1" x14ac:dyDescent="0.15">
      <c r="A17" s="100"/>
    </row>
  </sheetData>
  <mergeCells count="5">
    <mergeCell ref="A2:A3"/>
    <mergeCell ref="B2:C2"/>
    <mergeCell ref="B3:C3"/>
    <mergeCell ref="B4:C4"/>
    <mergeCell ref="B5:C5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A13B-E6FD-4C1C-BCD2-5090FA461F9E}">
  <dimension ref="A1:N34"/>
  <sheetViews>
    <sheetView showGridLines="0" workbookViewId="0">
      <selection activeCell="N32" sqref="N32"/>
    </sheetView>
  </sheetViews>
  <sheetFormatPr defaultRowHeight="13.5" x14ac:dyDescent="0.15"/>
  <cols>
    <col min="1" max="1" width="4.625" bestFit="1" customWidth="1"/>
    <col min="2" max="6" width="9.625" bestFit="1" customWidth="1"/>
    <col min="8" max="8" width="11.625" bestFit="1" customWidth="1"/>
    <col min="9" max="9" width="16" bestFit="1" customWidth="1"/>
    <col min="10" max="10" width="7.25" customWidth="1"/>
  </cols>
  <sheetData>
    <row r="1" spans="1:14" ht="14.25" thickBot="1" x14ac:dyDescent="0.2"/>
    <row r="2" spans="1:14" ht="15.75" thickTop="1" x14ac:dyDescent="0.15">
      <c r="A2" s="2"/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H2" s="85" t="s">
        <v>49</v>
      </c>
      <c r="I2" s="85"/>
      <c r="J2" s="85"/>
      <c r="K2" s="85"/>
      <c r="L2" s="85"/>
      <c r="M2" s="85"/>
      <c r="N2" s="85"/>
    </row>
    <row r="3" spans="1:14" ht="15" x14ac:dyDescent="0.15">
      <c r="A3" s="5"/>
      <c r="B3" s="42" t="s">
        <v>52</v>
      </c>
      <c r="C3" s="42" t="s">
        <v>52</v>
      </c>
      <c r="D3" s="42" t="s">
        <v>52</v>
      </c>
      <c r="E3" s="42" t="s">
        <v>52</v>
      </c>
      <c r="F3" s="42" t="s">
        <v>52</v>
      </c>
      <c r="H3" s="65" t="s">
        <v>48</v>
      </c>
      <c r="I3" s="66" t="s">
        <v>47</v>
      </c>
      <c r="J3" s="66" t="s">
        <v>10</v>
      </c>
      <c r="K3" s="66" t="s">
        <v>102</v>
      </c>
      <c r="L3" s="66" t="s">
        <v>103</v>
      </c>
      <c r="M3" s="66" t="s">
        <v>39</v>
      </c>
      <c r="N3" s="66" t="s">
        <v>40</v>
      </c>
    </row>
    <row r="4" spans="1:14" ht="15" x14ac:dyDescent="0.15">
      <c r="A4" s="1" t="s">
        <v>8</v>
      </c>
      <c r="B4" s="7">
        <v>27.155000000000001</v>
      </c>
      <c r="C4" s="7">
        <v>19.815000000000001</v>
      </c>
      <c r="D4" s="7">
        <v>4.22</v>
      </c>
      <c r="E4" s="7">
        <v>8.3099999999999987</v>
      </c>
      <c r="F4" s="7">
        <v>4.4950000000000001</v>
      </c>
      <c r="H4" s="67">
        <v>2013</v>
      </c>
      <c r="I4" s="68">
        <v>31.9</v>
      </c>
      <c r="J4" s="1">
        <v>25.58</v>
      </c>
      <c r="K4" s="1">
        <v>17.920000000000002</v>
      </c>
      <c r="L4" s="1">
        <v>3.68</v>
      </c>
      <c r="M4" s="69">
        <v>9.19</v>
      </c>
      <c r="N4" s="69">
        <v>5.07</v>
      </c>
    </row>
    <row r="5" spans="1:14" ht="15" x14ac:dyDescent="0.15">
      <c r="A5" s="5" t="s">
        <v>9</v>
      </c>
      <c r="B5" s="11">
        <v>24.74</v>
      </c>
      <c r="C5" s="11">
        <v>18.670000000000002</v>
      </c>
      <c r="D5" s="11">
        <v>4.08</v>
      </c>
      <c r="E5" s="11">
        <v>8.01</v>
      </c>
      <c r="F5" s="11">
        <v>3.98</v>
      </c>
      <c r="H5" s="70">
        <v>2015</v>
      </c>
      <c r="I5" s="71">
        <v>37.200000000000003</v>
      </c>
      <c r="J5" s="10">
        <v>28.73</v>
      </c>
      <c r="K5" s="10">
        <v>21.71</v>
      </c>
      <c r="L5" s="10">
        <v>4.76</v>
      </c>
      <c r="M5" s="72">
        <v>7.43</v>
      </c>
      <c r="N5" s="72">
        <v>3.92</v>
      </c>
    </row>
    <row r="6" spans="1:14" ht="15" x14ac:dyDescent="0.15">
      <c r="H6" s="67">
        <v>2017</v>
      </c>
      <c r="I6" s="68">
        <v>38</v>
      </c>
      <c r="J6" s="69">
        <v>24.74</v>
      </c>
      <c r="K6" s="69">
        <v>18.670000000000002</v>
      </c>
      <c r="L6" s="69">
        <v>4.08</v>
      </c>
      <c r="M6" s="69">
        <v>8.01</v>
      </c>
      <c r="N6" s="69">
        <v>3.98</v>
      </c>
    </row>
    <row r="7" spans="1:14" ht="15" x14ac:dyDescent="0.15">
      <c r="H7" s="73">
        <v>2018</v>
      </c>
      <c r="I7" s="74">
        <v>38</v>
      </c>
      <c r="J7" s="75">
        <v>24.74</v>
      </c>
      <c r="K7" s="75">
        <v>18.670000000000002</v>
      </c>
      <c r="L7" s="75">
        <v>4.08</v>
      </c>
      <c r="M7" s="76">
        <v>8.01</v>
      </c>
      <c r="N7" s="76">
        <v>3.98</v>
      </c>
    </row>
    <row r="8" spans="1:14" ht="15" x14ac:dyDescent="0.15">
      <c r="H8" s="1"/>
      <c r="I8" s="1"/>
      <c r="J8" s="1"/>
      <c r="K8" s="1"/>
      <c r="L8" s="1"/>
      <c r="M8" s="1"/>
      <c r="N8" s="1"/>
    </row>
    <row r="17" spans="1:14" x14ac:dyDescent="0.15">
      <c r="I17" s="13"/>
      <c r="J17" s="13"/>
      <c r="K17" s="13"/>
      <c r="L17" s="13"/>
      <c r="M17" s="13"/>
      <c r="N17" s="13"/>
    </row>
    <row r="18" spans="1:14" x14ac:dyDescent="0.15">
      <c r="I18" s="13"/>
      <c r="J18" s="13"/>
      <c r="K18" s="13"/>
      <c r="L18" s="13"/>
      <c r="M18" s="13"/>
      <c r="N18" s="13"/>
    </row>
    <row r="32" spans="1:14" x14ac:dyDescent="0.15">
      <c r="A32" s="14"/>
      <c r="B32" s="14"/>
      <c r="C32" s="14"/>
      <c r="D32" s="14"/>
      <c r="E32" s="14"/>
      <c r="F32" s="14"/>
    </row>
    <row r="33" spans="1:6" x14ac:dyDescent="0.15">
      <c r="A33" s="14"/>
      <c r="B33" s="14"/>
      <c r="C33" s="14"/>
      <c r="D33" s="14"/>
      <c r="E33" s="14"/>
      <c r="F33" s="14"/>
    </row>
    <row r="34" spans="1:6" x14ac:dyDescent="0.15">
      <c r="A34" s="14"/>
      <c r="B34" s="14"/>
      <c r="C34" s="14"/>
      <c r="D34" s="14"/>
      <c r="E34" s="14"/>
      <c r="F34" s="14"/>
    </row>
  </sheetData>
  <mergeCells count="1">
    <mergeCell ref="H2:N2"/>
  </mergeCells>
  <phoneticPr fontId="2"/>
  <conditionalFormatting sqref="J6:J7">
    <cfRule type="cellIs" dxfId="4" priority="10" operator="greaterThan">
      <formula>28</formula>
    </cfRule>
  </conditionalFormatting>
  <conditionalFormatting sqref="K6:K7">
    <cfRule type="cellIs" dxfId="3" priority="12" operator="greaterThan">
      <formula>20</formula>
    </cfRule>
  </conditionalFormatting>
  <conditionalFormatting sqref="L6:L7">
    <cfRule type="cellIs" dxfId="2" priority="11" operator="greaterThan">
      <formula>4.5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969E-7137-44CB-9CF5-7AC19B3C3B6C}">
  <dimension ref="A1:X135"/>
  <sheetViews>
    <sheetView showGridLines="0" workbookViewId="0">
      <selection activeCell="A12" sqref="A12:A13"/>
    </sheetView>
  </sheetViews>
  <sheetFormatPr defaultColWidth="9" defaultRowHeight="15" x14ac:dyDescent="0.15"/>
  <cols>
    <col min="1" max="1" width="4.625" style="1" bestFit="1" customWidth="1"/>
    <col min="2" max="2" width="14" style="1" bestFit="1" customWidth="1"/>
    <col min="3" max="3" width="7.375" style="1" bestFit="1" customWidth="1"/>
    <col min="4" max="4" width="12.875" style="1" bestFit="1" customWidth="1"/>
    <col min="5" max="5" width="7.75" style="1" bestFit="1" customWidth="1"/>
    <col min="6" max="6" width="13.375" style="1" bestFit="1" customWidth="1"/>
    <col min="7" max="7" width="9" style="1"/>
    <col min="8" max="8" width="13.375" style="1" bestFit="1" customWidth="1"/>
    <col min="9" max="11" width="9" style="1"/>
    <col min="12" max="12" width="13.375" style="1" bestFit="1" customWidth="1"/>
    <col min="13" max="15" width="9" style="1"/>
    <col min="16" max="16" width="7.25" style="1" bestFit="1" customWidth="1"/>
    <col min="17" max="20" width="9.125" style="1" bestFit="1" customWidth="1"/>
    <col min="21" max="16384" width="9" style="1"/>
  </cols>
  <sheetData>
    <row r="1" spans="1:24" ht="15.75" thickBot="1" x14ac:dyDescent="0.2">
      <c r="I1" s="1" t="s">
        <v>16</v>
      </c>
      <c r="J1" s="1" t="s">
        <v>16</v>
      </c>
      <c r="M1" s="1" t="s">
        <v>16</v>
      </c>
      <c r="N1" s="1" t="s">
        <v>16</v>
      </c>
      <c r="W1" s="86" t="s">
        <v>71</v>
      </c>
      <c r="X1" s="86"/>
    </row>
    <row r="2" spans="1:24" ht="15.75" customHeight="1" thickTop="1" x14ac:dyDescent="0.15">
      <c r="A2" s="121"/>
      <c r="B2" s="121"/>
      <c r="C2" s="124" t="s">
        <v>134</v>
      </c>
      <c r="D2" s="124"/>
      <c r="E2" s="124"/>
      <c r="F2" s="153" t="s">
        <v>135</v>
      </c>
      <c r="H2" s="44" t="s">
        <v>57</v>
      </c>
      <c r="I2" s="1" t="s">
        <v>55</v>
      </c>
      <c r="J2" s="1" t="s">
        <v>56</v>
      </c>
      <c r="L2" s="45" t="s">
        <v>58</v>
      </c>
      <c r="M2" s="1" t="s">
        <v>53</v>
      </c>
      <c r="N2" s="1" t="s">
        <v>54</v>
      </c>
      <c r="P2" s="1" t="s">
        <v>70</v>
      </c>
      <c r="Q2" s="86" t="s">
        <v>69</v>
      </c>
      <c r="R2" s="86"/>
      <c r="S2" s="86"/>
      <c r="T2" s="86"/>
      <c r="W2" s="1" t="s">
        <v>57</v>
      </c>
      <c r="X2" s="1" t="s">
        <v>58</v>
      </c>
    </row>
    <row r="3" spans="1:24" ht="17.25" x14ac:dyDescent="0.15">
      <c r="A3" s="155"/>
      <c r="B3" s="155"/>
      <c r="C3" s="119" t="s">
        <v>117</v>
      </c>
      <c r="D3" s="119" t="s">
        <v>137</v>
      </c>
      <c r="E3" s="119" t="s">
        <v>138</v>
      </c>
      <c r="F3" s="156" t="s">
        <v>136</v>
      </c>
      <c r="H3" s="46">
        <v>43040.0172916667</v>
      </c>
      <c r="I3" s="7">
        <v>68.120833333333323</v>
      </c>
      <c r="J3" s="7">
        <v>38.481250000000003</v>
      </c>
      <c r="L3" s="46">
        <v>43431.006944444445</v>
      </c>
      <c r="M3" s="7">
        <v>65.982352941176458</v>
      </c>
      <c r="N3" s="7">
        <v>38.005882352941185</v>
      </c>
      <c r="P3" s="1" t="s">
        <v>68</v>
      </c>
      <c r="Q3" s="1" t="s">
        <v>66</v>
      </c>
      <c r="R3" s="1" t="s">
        <v>67</v>
      </c>
      <c r="S3" s="1" t="s">
        <v>57</v>
      </c>
      <c r="T3" s="1" t="s">
        <v>58</v>
      </c>
      <c r="V3" s="1" t="s">
        <v>72</v>
      </c>
      <c r="W3" s="7">
        <v>10.227901785714286</v>
      </c>
      <c r="X3" s="7" t="s">
        <v>5</v>
      </c>
    </row>
    <row r="4" spans="1:24" ht="18" x14ac:dyDescent="0.15">
      <c r="A4" s="151"/>
      <c r="B4" s="151"/>
      <c r="C4" s="118" t="s">
        <v>16</v>
      </c>
      <c r="D4" s="118" t="s">
        <v>16</v>
      </c>
      <c r="E4" s="118" t="s">
        <v>16</v>
      </c>
      <c r="F4" s="118" t="s">
        <v>139</v>
      </c>
      <c r="H4" s="46">
        <v>43041.0172916667</v>
      </c>
      <c r="I4" s="7">
        <v>67.597916666666677</v>
      </c>
      <c r="J4" s="7">
        <v>38.470833333333331</v>
      </c>
      <c r="L4" s="46">
        <v>43432.006944444445</v>
      </c>
      <c r="M4" s="7">
        <v>68.431249999999991</v>
      </c>
      <c r="N4" s="7">
        <v>40.14374999999999</v>
      </c>
      <c r="P4" s="1" t="s">
        <v>64</v>
      </c>
      <c r="Q4" s="43">
        <v>7.7</v>
      </c>
      <c r="R4" s="43">
        <v>10.1</v>
      </c>
      <c r="S4" s="1">
        <v>7.5</v>
      </c>
      <c r="T4" s="1">
        <v>10.1</v>
      </c>
      <c r="V4" s="1" t="s">
        <v>73</v>
      </c>
      <c r="W4" s="7">
        <v>8.6740188172042991</v>
      </c>
      <c r="X4" s="7">
        <v>10.213593749999999</v>
      </c>
    </row>
    <row r="5" spans="1:24" x14ac:dyDescent="0.15">
      <c r="A5" s="113" t="s">
        <v>8</v>
      </c>
      <c r="B5" s="103" t="s">
        <v>140</v>
      </c>
      <c r="C5" s="103" t="s">
        <v>74</v>
      </c>
      <c r="D5" s="103" t="s">
        <v>74</v>
      </c>
      <c r="E5" s="127">
        <v>3.3</v>
      </c>
      <c r="F5" s="103" t="s">
        <v>74</v>
      </c>
      <c r="H5" s="46">
        <v>43042.0172916667</v>
      </c>
      <c r="I5" s="7">
        <v>69.70208333333332</v>
      </c>
      <c r="J5" s="7">
        <v>40.427083333333336</v>
      </c>
      <c r="L5" s="46">
        <v>43433.006944444445</v>
      </c>
      <c r="M5" s="7">
        <v>68.347916666666663</v>
      </c>
      <c r="N5" s="7">
        <v>41.33124999999999</v>
      </c>
      <c r="P5" s="1" t="s">
        <v>65</v>
      </c>
      <c r="Q5" s="43">
        <v>2.9</v>
      </c>
      <c r="R5" s="43">
        <v>5</v>
      </c>
      <c r="S5" s="1">
        <v>1.8</v>
      </c>
      <c r="T5" s="1">
        <v>3.8</v>
      </c>
      <c r="V5" s="1" t="s">
        <v>59</v>
      </c>
      <c r="W5" s="7">
        <v>8.7850672043010771</v>
      </c>
      <c r="X5" s="7">
        <v>10.925524193548386</v>
      </c>
    </row>
    <row r="6" spans="1:24" x14ac:dyDescent="0.15">
      <c r="A6" s="107"/>
      <c r="B6" s="103" t="s">
        <v>141</v>
      </c>
      <c r="C6" s="103" t="s">
        <v>74</v>
      </c>
      <c r="D6" s="103" t="s">
        <v>74</v>
      </c>
      <c r="E6" s="127">
        <v>5</v>
      </c>
      <c r="F6" s="103" t="s">
        <v>74</v>
      </c>
      <c r="H6" s="46">
        <v>43043.0172916667</v>
      </c>
      <c r="I6" s="7">
        <v>66.783333333333317</v>
      </c>
      <c r="J6" s="7">
        <v>39.264583333333334</v>
      </c>
      <c r="L6" s="46">
        <v>43434.006944444445</v>
      </c>
      <c r="M6" s="7">
        <v>67.441666666666649</v>
      </c>
      <c r="N6" s="7">
        <v>39.637499999999996</v>
      </c>
      <c r="P6" s="1" t="s">
        <v>60</v>
      </c>
      <c r="Q6" s="43">
        <v>0.2</v>
      </c>
      <c r="R6" s="43">
        <v>1.4</v>
      </c>
      <c r="S6" s="1">
        <v>0.1</v>
      </c>
      <c r="T6" s="1">
        <v>1.1000000000000001</v>
      </c>
      <c r="V6" s="1" t="s">
        <v>61</v>
      </c>
      <c r="W6" s="7">
        <v>10.180691964285712</v>
      </c>
      <c r="X6" s="7">
        <v>11.454765625</v>
      </c>
    </row>
    <row r="7" spans="1:24" x14ac:dyDescent="0.15">
      <c r="A7" s="113" t="s">
        <v>9</v>
      </c>
      <c r="B7" s="119" t="s">
        <v>142</v>
      </c>
      <c r="C7" s="145">
        <v>63.5</v>
      </c>
      <c r="D7" s="145">
        <v>31.2</v>
      </c>
      <c r="E7" s="145">
        <v>3.4</v>
      </c>
      <c r="F7" s="145">
        <v>9.4</v>
      </c>
      <c r="H7" s="46">
        <v>43044.0172916667</v>
      </c>
      <c r="I7" s="7">
        <v>65.987499999999997</v>
      </c>
      <c r="J7" s="7">
        <v>38.000000000000007</v>
      </c>
      <c r="L7" s="46">
        <v>43435.006944444445</v>
      </c>
      <c r="M7" s="7">
        <v>66.154166666666654</v>
      </c>
      <c r="N7" s="7">
        <v>38.931250000000006</v>
      </c>
      <c r="P7" s="1" t="s">
        <v>62</v>
      </c>
      <c r="Q7" s="43">
        <v>0.9</v>
      </c>
      <c r="R7" s="43">
        <v>2.4</v>
      </c>
      <c r="S7" s="1">
        <v>0.6</v>
      </c>
      <c r="T7" s="1">
        <v>2.7</v>
      </c>
      <c r="V7" s="1" t="s">
        <v>63</v>
      </c>
      <c r="W7" s="7">
        <v>9.6790625000000006</v>
      </c>
      <c r="X7" s="7">
        <v>12.078528225806451</v>
      </c>
    </row>
    <row r="8" spans="1:24" ht="15.75" x14ac:dyDescent="0.15">
      <c r="A8" s="111"/>
      <c r="B8" s="118" t="s">
        <v>143</v>
      </c>
      <c r="C8" s="146">
        <v>64.3</v>
      </c>
      <c r="D8" s="146">
        <v>34.1</v>
      </c>
      <c r="E8" s="146">
        <v>4.8</v>
      </c>
      <c r="F8" s="146">
        <v>11.4</v>
      </c>
      <c r="H8" s="46">
        <v>43045.0172916667</v>
      </c>
      <c r="I8" s="7">
        <v>66.708333333333314</v>
      </c>
      <c r="J8" s="7">
        <v>39.041666666666664</v>
      </c>
      <c r="L8" s="46">
        <v>43436.006944444445</v>
      </c>
      <c r="M8" s="7">
        <v>66.987499999999997</v>
      </c>
      <c r="N8" s="7">
        <v>38.545833333333341</v>
      </c>
      <c r="P8" s="1" t="s">
        <v>63</v>
      </c>
      <c r="Q8" s="43">
        <v>5</v>
      </c>
      <c r="R8" s="43">
        <v>5.9</v>
      </c>
      <c r="S8" s="1">
        <v>6.9</v>
      </c>
      <c r="T8" s="47">
        <v>6.1</v>
      </c>
      <c r="V8" s="1" t="s">
        <v>75</v>
      </c>
      <c r="W8" s="7">
        <f>+AVERAGE(W3:W7)</f>
        <v>9.509348454301076</v>
      </c>
      <c r="X8" s="7">
        <f>+AVERAGE(X3:X7)</f>
        <v>11.168102948588709</v>
      </c>
    </row>
    <row r="9" spans="1:24" ht="17.25" x14ac:dyDescent="0.15">
      <c r="A9" s="120"/>
      <c r="B9" s="154" t="s">
        <v>144</v>
      </c>
      <c r="C9" s="154"/>
      <c r="D9" s="154"/>
      <c r="E9" s="154"/>
      <c r="F9" s="154"/>
      <c r="H9" s="46">
        <v>43046.0172916667</v>
      </c>
      <c r="I9" s="7">
        <v>65.618749999999991</v>
      </c>
      <c r="J9" s="7">
        <v>38.258333333333333</v>
      </c>
      <c r="L9" s="46">
        <v>43437.006944444445</v>
      </c>
      <c r="M9" s="7">
        <v>67.041666666666671</v>
      </c>
      <c r="N9" s="7">
        <v>40.166666666666664</v>
      </c>
      <c r="Q9" s="49"/>
      <c r="R9" s="49"/>
      <c r="S9" s="50"/>
      <c r="T9" s="50" t="s">
        <v>76</v>
      </c>
    </row>
    <row r="10" spans="1:24" x14ac:dyDescent="0.15">
      <c r="B10" s="87"/>
      <c r="C10" s="87"/>
      <c r="D10" s="87"/>
      <c r="E10" s="87"/>
      <c r="F10" s="87"/>
      <c r="H10" s="46">
        <v>43047.0172916667</v>
      </c>
      <c r="I10" s="7">
        <v>65.387500000000003</v>
      </c>
      <c r="J10" s="7">
        <v>38.541666666666664</v>
      </c>
      <c r="L10" s="46">
        <v>43438.006944444445</v>
      </c>
      <c r="M10" s="7">
        <v>68.07916666666668</v>
      </c>
      <c r="N10" s="7">
        <v>41.170833333333327</v>
      </c>
      <c r="T10" s="48" t="s">
        <v>77</v>
      </c>
    </row>
    <row r="11" spans="1:24" x14ac:dyDescent="0.15">
      <c r="A11" s="87"/>
      <c r="B11" s="87"/>
      <c r="C11" s="87"/>
      <c r="D11" s="87"/>
      <c r="E11" s="87"/>
      <c r="F11" s="87"/>
      <c r="H11" s="46">
        <v>43048.0172916667</v>
      </c>
      <c r="I11" s="7">
        <v>62.429166666666653</v>
      </c>
      <c r="J11" s="7">
        <v>36.30833333333333</v>
      </c>
      <c r="L11" s="46">
        <v>43439.006944444445</v>
      </c>
      <c r="M11" s="7">
        <v>66.841666666666654</v>
      </c>
      <c r="N11" s="7">
        <v>38.816666666666684</v>
      </c>
    </row>
    <row r="12" spans="1:24" x14ac:dyDescent="0.15">
      <c r="A12" s="100"/>
      <c r="H12" s="46">
        <v>43049.0172916667</v>
      </c>
      <c r="I12" s="7">
        <v>60.720833333333339</v>
      </c>
      <c r="J12" s="7">
        <v>34.943749999999994</v>
      </c>
      <c r="L12" s="46">
        <v>43440.006944444445</v>
      </c>
      <c r="M12" s="7">
        <v>66.935416666666669</v>
      </c>
      <c r="N12" s="7">
        <v>40.547916666666673</v>
      </c>
    </row>
    <row r="13" spans="1:24" x14ac:dyDescent="0.15">
      <c r="A13" s="100"/>
      <c r="H13" s="46">
        <v>43050.0172916667</v>
      </c>
      <c r="I13" s="7">
        <v>61.493749999999999</v>
      </c>
      <c r="J13" s="7">
        <v>35.272916666666667</v>
      </c>
      <c r="L13" s="46">
        <v>43441.006944444445</v>
      </c>
      <c r="M13" s="7">
        <v>63.175000000000004</v>
      </c>
      <c r="N13" s="7">
        <v>38.231249999999996</v>
      </c>
    </row>
    <row r="14" spans="1:24" x14ac:dyDescent="0.15">
      <c r="H14" s="46">
        <v>43051.0172916667</v>
      </c>
      <c r="I14" s="7">
        <v>64.002083333333317</v>
      </c>
      <c r="J14" s="7">
        <v>36.200000000000003</v>
      </c>
      <c r="L14" s="46">
        <v>43442.006944444445</v>
      </c>
      <c r="M14" s="7">
        <v>64.902083333333323</v>
      </c>
      <c r="N14" s="7">
        <v>35.506249999999987</v>
      </c>
    </row>
    <row r="15" spans="1:24" x14ac:dyDescent="0.15">
      <c r="H15" s="46">
        <v>43052.0172916667</v>
      </c>
      <c r="I15" s="7">
        <v>65.158333333333346</v>
      </c>
      <c r="J15" s="7">
        <v>36.797916666666666</v>
      </c>
      <c r="L15" s="46">
        <v>43443.006944444445</v>
      </c>
      <c r="M15" s="7">
        <v>65.066666666666649</v>
      </c>
      <c r="N15" s="7">
        <v>35.885416666666671</v>
      </c>
    </row>
    <row r="16" spans="1:24" x14ac:dyDescent="0.15">
      <c r="H16" s="46">
        <v>43053.0172916667</v>
      </c>
      <c r="I16" s="7">
        <v>68.624999999999986</v>
      </c>
      <c r="J16" s="7">
        <v>41.489583333333336</v>
      </c>
      <c r="L16" s="46">
        <v>43444.006944444445</v>
      </c>
      <c r="M16" s="7">
        <v>63.852083333333333</v>
      </c>
      <c r="N16" s="7">
        <v>33.641666666666659</v>
      </c>
    </row>
    <row r="17" spans="8:14" x14ac:dyDescent="0.15">
      <c r="H17" s="46">
        <v>43054.0172916667</v>
      </c>
      <c r="I17" s="7">
        <v>65.364583333333329</v>
      </c>
      <c r="J17" s="7">
        <v>38.910416666666677</v>
      </c>
      <c r="L17" s="46">
        <v>43445.006944444445</v>
      </c>
      <c r="M17" s="7">
        <v>68.24166666666666</v>
      </c>
      <c r="N17" s="7">
        <v>38.489583333333321</v>
      </c>
    </row>
    <row r="18" spans="8:14" x14ac:dyDescent="0.15">
      <c r="H18" s="46">
        <v>43055.0172916667</v>
      </c>
      <c r="I18" s="7">
        <v>67.064583333333346</v>
      </c>
      <c r="J18" s="7">
        <v>38.402083333333323</v>
      </c>
      <c r="L18" s="46">
        <v>43446.006944444445</v>
      </c>
      <c r="M18" s="7">
        <v>66.020833333333357</v>
      </c>
      <c r="N18" s="7">
        <v>37.306249999999999</v>
      </c>
    </row>
    <row r="19" spans="8:14" x14ac:dyDescent="0.15">
      <c r="H19" s="46">
        <v>43056.0172916667</v>
      </c>
      <c r="I19" s="7">
        <v>67.387500000000017</v>
      </c>
      <c r="J19" s="7">
        <v>33.302083333333329</v>
      </c>
      <c r="L19" s="46">
        <v>43447.006944444445</v>
      </c>
      <c r="M19" s="7">
        <v>66.42916666666666</v>
      </c>
      <c r="N19" s="7">
        <v>36.76874999999999</v>
      </c>
    </row>
    <row r="20" spans="8:14" x14ac:dyDescent="0.15">
      <c r="H20" s="46">
        <v>43057.0172916667</v>
      </c>
      <c r="I20" s="7">
        <v>56.243750000000006</v>
      </c>
      <c r="J20" s="7">
        <v>23.975000000000005</v>
      </c>
      <c r="L20" s="46">
        <v>43448.006944444445</v>
      </c>
      <c r="M20" s="7">
        <v>65.685416666666654</v>
      </c>
      <c r="N20" s="7">
        <v>36.154166666666676</v>
      </c>
    </row>
    <row r="21" spans="8:14" x14ac:dyDescent="0.15">
      <c r="H21" s="46">
        <v>43058.0172916667</v>
      </c>
      <c r="I21" s="7">
        <v>35.337499999999999</v>
      </c>
      <c r="J21" s="7">
        <v>16.329166666666666</v>
      </c>
      <c r="L21" s="46">
        <v>43449.006944444445</v>
      </c>
      <c r="M21" s="7">
        <v>66.6875</v>
      </c>
      <c r="N21" s="7">
        <v>36.193750000000001</v>
      </c>
    </row>
    <row r="22" spans="8:14" x14ac:dyDescent="0.15">
      <c r="H22" s="46">
        <v>43059.0172916667</v>
      </c>
      <c r="I22" s="7">
        <v>45.718750000000007</v>
      </c>
      <c r="J22" s="7">
        <v>17.933333333333334</v>
      </c>
      <c r="L22" s="46">
        <v>43450.006944444445</v>
      </c>
      <c r="M22" s="7">
        <v>65.933333333333351</v>
      </c>
      <c r="N22" s="7">
        <v>35.016666666666659</v>
      </c>
    </row>
    <row r="23" spans="8:14" x14ac:dyDescent="0.15">
      <c r="H23" s="46">
        <v>43060.0172916667</v>
      </c>
      <c r="I23" s="7">
        <v>66.097916666666649</v>
      </c>
      <c r="J23" s="7">
        <v>33.181249999999999</v>
      </c>
      <c r="L23" s="46">
        <v>43451.006944444445</v>
      </c>
      <c r="M23" s="7">
        <v>66.30416666666666</v>
      </c>
      <c r="N23" s="7">
        <v>36.568750000000001</v>
      </c>
    </row>
    <row r="24" spans="8:14" x14ac:dyDescent="0.15">
      <c r="H24" s="46">
        <v>43061.0172916667</v>
      </c>
      <c r="I24" s="7">
        <v>65.289583333333354</v>
      </c>
      <c r="J24" s="7">
        <v>35.18333333333333</v>
      </c>
      <c r="L24" s="46">
        <v>43452.006944444445</v>
      </c>
      <c r="M24" s="7">
        <v>64.120833333333323</v>
      </c>
      <c r="N24" s="7">
        <v>34.539583333333347</v>
      </c>
    </row>
    <row r="25" spans="8:14" x14ac:dyDescent="0.15">
      <c r="H25" s="46">
        <v>43062.0172916667</v>
      </c>
      <c r="I25" s="7">
        <v>64.950000000000017</v>
      </c>
      <c r="J25" s="7">
        <v>35.368749999999991</v>
      </c>
      <c r="L25" s="46">
        <v>43453.006944444445</v>
      </c>
      <c r="M25" s="7">
        <v>66.65625</v>
      </c>
      <c r="N25" s="7">
        <v>36.695833333333333</v>
      </c>
    </row>
    <row r="26" spans="8:14" x14ac:dyDescent="0.15">
      <c r="H26" s="46">
        <v>43063.0172916667</v>
      </c>
      <c r="I26" s="7">
        <v>66.660416666666663</v>
      </c>
      <c r="J26" s="7">
        <v>35.849999999999994</v>
      </c>
      <c r="L26" s="46">
        <v>43454.006944444445</v>
      </c>
      <c r="M26" s="7">
        <v>62.316666666666656</v>
      </c>
      <c r="N26" s="7">
        <v>33.918750000000003</v>
      </c>
    </row>
    <row r="27" spans="8:14" x14ac:dyDescent="0.15">
      <c r="H27" s="46">
        <v>43064.0172916667</v>
      </c>
      <c r="I27" s="7">
        <v>64.662500000000009</v>
      </c>
      <c r="J27" s="7">
        <v>34.906249999999993</v>
      </c>
      <c r="L27" s="46">
        <v>43455.006944444445</v>
      </c>
      <c r="M27" s="7">
        <v>65.745833333333323</v>
      </c>
      <c r="N27" s="7">
        <v>35.020833333333329</v>
      </c>
    </row>
    <row r="28" spans="8:14" x14ac:dyDescent="0.15">
      <c r="H28" s="46">
        <v>43065.0172916667</v>
      </c>
      <c r="I28" s="7">
        <v>68.00833333333334</v>
      </c>
      <c r="J28" s="7">
        <v>36.972916666666663</v>
      </c>
      <c r="L28" s="46">
        <v>43456.006944444445</v>
      </c>
      <c r="M28" s="7">
        <v>66.995833333333351</v>
      </c>
      <c r="N28" s="7">
        <v>36.729166666666664</v>
      </c>
    </row>
    <row r="29" spans="8:14" x14ac:dyDescent="0.15">
      <c r="H29" s="46">
        <v>43066.0172916667</v>
      </c>
      <c r="I29" s="7">
        <v>65.745833333333337</v>
      </c>
      <c r="J29" s="7">
        <v>34.981250000000003</v>
      </c>
      <c r="L29" s="46">
        <v>43457.006944444445</v>
      </c>
      <c r="M29" s="7">
        <v>67.172916666666666</v>
      </c>
      <c r="N29" s="7">
        <v>36.762499999999996</v>
      </c>
    </row>
    <row r="30" spans="8:14" x14ac:dyDescent="0.15">
      <c r="H30" s="46">
        <v>43067.0172916667</v>
      </c>
      <c r="I30" s="7">
        <v>67.479166666666671</v>
      </c>
      <c r="J30" s="7">
        <v>37.283333333333331</v>
      </c>
      <c r="L30" s="46">
        <v>43458.006944444445</v>
      </c>
      <c r="M30" s="7">
        <v>65.914583333333354</v>
      </c>
      <c r="N30" s="7">
        <v>35.287499999999987</v>
      </c>
    </row>
    <row r="31" spans="8:14" x14ac:dyDescent="0.15">
      <c r="H31" s="46">
        <v>43068.0172916667</v>
      </c>
      <c r="I31" s="7">
        <v>67.906249999999986</v>
      </c>
      <c r="J31" s="7">
        <v>37.445833333333326</v>
      </c>
      <c r="L31" s="46">
        <v>43459.006944444445</v>
      </c>
      <c r="M31" s="7">
        <v>66.393749999999997</v>
      </c>
      <c r="N31" s="7">
        <v>35.220833333333346</v>
      </c>
    </row>
    <row r="32" spans="8:14" x14ac:dyDescent="0.15">
      <c r="H32" s="46">
        <v>43069.0172916667</v>
      </c>
      <c r="I32" s="7">
        <v>66.03958333333334</v>
      </c>
      <c r="J32" s="7">
        <v>36.279166666666661</v>
      </c>
      <c r="L32" s="46">
        <v>43460.006944444445</v>
      </c>
      <c r="M32" s="7">
        <v>66.608333333333334</v>
      </c>
      <c r="N32" s="7">
        <v>36.779166666666669</v>
      </c>
    </row>
    <row r="33" spans="8:14" x14ac:dyDescent="0.15">
      <c r="H33" s="46">
        <v>43070.0172916667</v>
      </c>
      <c r="I33" s="7">
        <v>65.739583333333329</v>
      </c>
      <c r="J33" s="7">
        <v>35.885416666666657</v>
      </c>
      <c r="L33" s="46">
        <v>43461.006944444445</v>
      </c>
      <c r="M33" s="7">
        <v>65.872916666666683</v>
      </c>
      <c r="N33" s="7">
        <v>35.533333333333331</v>
      </c>
    </row>
    <row r="34" spans="8:14" x14ac:dyDescent="0.15">
      <c r="H34" s="46">
        <v>43071.0172916667</v>
      </c>
      <c r="I34" s="7">
        <v>66.256249999999994</v>
      </c>
      <c r="J34" s="7">
        <v>36.070833333333347</v>
      </c>
      <c r="L34" s="46">
        <v>43462.006944444445</v>
      </c>
      <c r="M34" s="7">
        <v>66.535416666666677</v>
      </c>
      <c r="N34" s="7">
        <v>34.354166666666664</v>
      </c>
    </row>
    <row r="35" spans="8:14" x14ac:dyDescent="0.15">
      <c r="H35" s="46">
        <v>43072.0172916667</v>
      </c>
      <c r="I35" s="7">
        <v>65.829166666666666</v>
      </c>
      <c r="J35" s="7">
        <v>36.568749999999994</v>
      </c>
      <c r="L35" s="46">
        <v>43463.006944444445</v>
      </c>
      <c r="M35" s="7">
        <v>64.243749999999991</v>
      </c>
      <c r="N35" s="7">
        <v>34.833333333333336</v>
      </c>
    </row>
    <row r="36" spans="8:14" x14ac:dyDescent="0.15">
      <c r="H36" s="46">
        <v>43073.0172916667</v>
      </c>
      <c r="I36" s="7">
        <v>66.212499999999991</v>
      </c>
      <c r="J36" s="7">
        <v>36.447916666666679</v>
      </c>
      <c r="L36" s="46">
        <v>43464.006944444445</v>
      </c>
      <c r="M36" s="7">
        <v>63.631250000000001</v>
      </c>
      <c r="N36" s="7">
        <v>31.864583333333329</v>
      </c>
    </row>
    <row r="37" spans="8:14" x14ac:dyDescent="0.15">
      <c r="H37" s="46">
        <v>43074.0172916667</v>
      </c>
      <c r="I37" s="7">
        <v>65.337499999999991</v>
      </c>
      <c r="J37" s="7">
        <v>35.952083333333334</v>
      </c>
      <c r="L37" s="46">
        <v>43465.006944444445</v>
      </c>
      <c r="M37" s="7">
        <v>65.760416666666657</v>
      </c>
      <c r="N37" s="7">
        <v>34.377083333333331</v>
      </c>
    </row>
    <row r="38" spans="8:14" x14ac:dyDescent="0.15">
      <c r="H38" s="46">
        <v>43075.0172916667</v>
      </c>
      <c r="I38" s="7">
        <v>64.437499999999986</v>
      </c>
      <c r="J38" s="7">
        <v>35.42916666666666</v>
      </c>
      <c r="L38" s="46">
        <v>43466.006944444445</v>
      </c>
      <c r="M38" s="7">
        <v>65.981250000000003</v>
      </c>
      <c r="N38" s="7">
        <v>35.145833333333321</v>
      </c>
    </row>
    <row r="39" spans="8:14" x14ac:dyDescent="0.15">
      <c r="H39" s="46">
        <v>43076.0172916667</v>
      </c>
      <c r="I39" s="7">
        <v>54.539583333333333</v>
      </c>
      <c r="J39" s="7">
        <v>29.299999999999997</v>
      </c>
      <c r="L39" s="46">
        <v>43467.006944444445</v>
      </c>
      <c r="M39" s="7">
        <v>68.135416666666671</v>
      </c>
      <c r="N39" s="7">
        <v>36.604166666666671</v>
      </c>
    </row>
    <row r="40" spans="8:14" x14ac:dyDescent="0.15">
      <c r="H40" s="46">
        <v>43077.0172916667</v>
      </c>
      <c r="I40" s="7">
        <v>50.15</v>
      </c>
      <c r="J40" s="7">
        <v>24.635416666666661</v>
      </c>
      <c r="L40" s="46">
        <v>43468.006944444445</v>
      </c>
      <c r="M40" s="7">
        <v>68.462499999999977</v>
      </c>
      <c r="N40" s="7">
        <v>36.404166666666669</v>
      </c>
    </row>
    <row r="41" spans="8:14" x14ac:dyDescent="0.15">
      <c r="H41" s="46">
        <v>43078.0172916667</v>
      </c>
      <c r="I41" s="7">
        <v>34.633333333333319</v>
      </c>
      <c r="J41" s="7">
        <v>15.370833333333332</v>
      </c>
      <c r="L41" s="46">
        <v>43469.006944444445</v>
      </c>
      <c r="M41" s="7">
        <v>67.279166666666669</v>
      </c>
      <c r="N41" s="7">
        <v>36.033333333333324</v>
      </c>
    </row>
    <row r="42" spans="8:14" x14ac:dyDescent="0.15">
      <c r="H42" s="46">
        <v>43079.0172916667</v>
      </c>
      <c r="I42" s="7">
        <v>59.279166666666676</v>
      </c>
      <c r="J42" s="7">
        <v>28.087500000000009</v>
      </c>
      <c r="L42" s="46">
        <v>43470.006944444445</v>
      </c>
      <c r="M42" s="7">
        <v>64.281249999999986</v>
      </c>
      <c r="N42" s="7">
        <v>33.641666666666666</v>
      </c>
    </row>
    <row r="43" spans="8:14" x14ac:dyDescent="0.15">
      <c r="H43" s="46">
        <v>43080.0172916667</v>
      </c>
      <c r="I43" s="7">
        <v>64.631249999999994</v>
      </c>
      <c r="J43" s="7">
        <v>34.15</v>
      </c>
      <c r="L43" s="46">
        <v>43471.006944444445</v>
      </c>
      <c r="M43" s="7">
        <v>63.885416666666693</v>
      </c>
      <c r="N43" s="7">
        <v>31.604166666666657</v>
      </c>
    </row>
    <row r="44" spans="8:14" x14ac:dyDescent="0.15">
      <c r="H44" s="46">
        <v>43081.0172916667</v>
      </c>
      <c r="I44" s="7">
        <v>66.070833333333312</v>
      </c>
      <c r="J44" s="7">
        <v>33.850000000000016</v>
      </c>
      <c r="L44" s="46">
        <v>43472.006944444445</v>
      </c>
      <c r="M44" s="7">
        <v>61.945833333333333</v>
      </c>
      <c r="N44" s="7">
        <v>23.108333333333331</v>
      </c>
    </row>
    <row r="45" spans="8:14" x14ac:dyDescent="0.15">
      <c r="H45" s="46">
        <v>43082.0172916667</v>
      </c>
      <c r="I45" s="7">
        <v>63.116666666666674</v>
      </c>
      <c r="J45" s="7">
        <v>32.597916666666677</v>
      </c>
      <c r="L45" s="46">
        <v>43473.006944444445</v>
      </c>
      <c r="M45" s="7">
        <v>64.006250000000009</v>
      </c>
      <c r="N45" s="7">
        <v>26.754166666666663</v>
      </c>
    </row>
    <row r="46" spans="8:14" x14ac:dyDescent="0.15">
      <c r="H46" s="46">
        <v>43083.0172916667</v>
      </c>
      <c r="I46" s="7">
        <v>67.006249999999994</v>
      </c>
      <c r="J46" s="7">
        <v>32.979166666666664</v>
      </c>
      <c r="L46" s="46">
        <v>43474.006944444445</v>
      </c>
      <c r="M46" s="7">
        <v>61.214583333333344</v>
      </c>
      <c r="N46" s="7">
        <v>31.524999999999995</v>
      </c>
    </row>
    <row r="47" spans="8:14" x14ac:dyDescent="0.15">
      <c r="H47" s="46">
        <v>43084.0172916667</v>
      </c>
      <c r="I47" s="7">
        <v>62.906250000000007</v>
      </c>
      <c r="J47" s="7">
        <v>32.08958333333333</v>
      </c>
      <c r="L47" s="46">
        <v>43475.006944444445</v>
      </c>
      <c r="M47" s="7">
        <v>60.118749999999999</v>
      </c>
      <c r="N47" s="7">
        <v>29.666666666666668</v>
      </c>
    </row>
    <row r="48" spans="8:14" x14ac:dyDescent="0.15">
      <c r="H48" s="46">
        <v>43085.0172916667</v>
      </c>
      <c r="I48" s="7">
        <v>65.181250000000006</v>
      </c>
      <c r="J48" s="7">
        <v>33.933333333333344</v>
      </c>
      <c r="L48" s="46">
        <v>43476.006944444445</v>
      </c>
      <c r="M48" s="7">
        <v>61.620833333333337</v>
      </c>
      <c r="N48" s="7">
        <v>29.6875</v>
      </c>
    </row>
    <row r="49" spans="8:14" x14ac:dyDescent="0.15">
      <c r="H49" s="46">
        <v>43086.0172916667</v>
      </c>
      <c r="I49" s="7">
        <v>66.035416666666663</v>
      </c>
      <c r="J49" s="7">
        <v>35.454166666666673</v>
      </c>
      <c r="L49" s="46">
        <v>43477.006944444445</v>
      </c>
      <c r="M49" s="7">
        <v>62.093750000000021</v>
      </c>
      <c r="N49" s="7">
        <v>30.785416666666666</v>
      </c>
    </row>
    <row r="50" spans="8:14" x14ac:dyDescent="0.15">
      <c r="H50" s="46">
        <v>43087.0172916667</v>
      </c>
      <c r="I50" s="7">
        <v>63.562499999999979</v>
      </c>
      <c r="J50" s="7">
        <v>32.531249999999986</v>
      </c>
      <c r="L50" s="46">
        <v>43478.006944444445</v>
      </c>
      <c r="M50" s="7">
        <v>62.362500000000011</v>
      </c>
      <c r="N50" s="7">
        <v>32.487500000000004</v>
      </c>
    </row>
    <row r="51" spans="8:14" x14ac:dyDescent="0.15">
      <c r="H51" s="46">
        <v>43088.0172916667</v>
      </c>
      <c r="I51" s="7">
        <v>64.822916666666671</v>
      </c>
      <c r="J51" s="7">
        <v>34.175000000000004</v>
      </c>
      <c r="L51" s="46">
        <v>43479.006944444445</v>
      </c>
      <c r="M51" s="7">
        <v>63.827083333333348</v>
      </c>
      <c r="N51" s="7">
        <v>32.952083333333334</v>
      </c>
    </row>
    <row r="52" spans="8:14" x14ac:dyDescent="0.15">
      <c r="H52" s="46">
        <v>43089.0172916667</v>
      </c>
      <c r="I52" s="7">
        <v>62.189583333333339</v>
      </c>
      <c r="J52" s="7">
        <v>30.895833333333329</v>
      </c>
      <c r="L52" s="46">
        <v>43480.006944444445</v>
      </c>
      <c r="M52" s="7">
        <v>67.368749999999991</v>
      </c>
      <c r="N52" s="7">
        <v>35.085416666666667</v>
      </c>
    </row>
    <row r="53" spans="8:14" x14ac:dyDescent="0.15">
      <c r="H53" s="46">
        <v>43090.0172916667</v>
      </c>
      <c r="I53" s="7">
        <v>65.318749999999994</v>
      </c>
      <c r="J53" s="7">
        <v>33.277083333333344</v>
      </c>
      <c r="L53" s="46">
        <v>43481.006944444445</v>
      </c>
      <c r="M53" s="7">
        <v>64.806249999999991</v>
      </c>
      <c r="N53" s="7">
        <v>34.854166666666671</v>
      </c>
    </row>
    <row r="54" spans="8:14" x14ac:dyDescent="0.15">
      <c r="H54" s="46">
        <v>43091.0172916667</v>
      </c>
      <c r="I54" s="7">
        <v>64.174999999999997</v>
      </c>
      <c r="J54" s="7">
        <v>33.033333333333331</v>
      </c>
      <c r="L54" s="46">
        <v>43482.006944444445</v>
      </c>
      <c r="M54" s="7">
        <v>57.1</v>
      </c>
      <c r="N54" s="7">
        <v>26.797916666666676</v>
      </c>
    </row>
    <row r="55" spans="8:14" x14ac:dyDescent="0.15">
      <c r="H55" s="46">
        <v>43092.0172916667</v>
      </c>
      <c r="I55" s="7">
        <v>65.74375000000002</v>
      </c>
      <c r="J55" s="7">
        <v>34.606249999999989</v>
      </c>
      <c r="L55" s="46">
        <v>43483.006944444445</v>
      </c>
      <c r="M55" s="7">
        <v>61.893750000000004</v>
      </c>
      <c r="N55" s="7">
        <v>31.997916666666658</v>
      </c>
    </row>
    <row r="56" spans="8:14" x14ac:dyDescent="0.15">
      <c r="H56" s="46">
        <v>43093.0172916667</v>
      </c>
      <c r="I56" s="7">
        <v>66.877083333333331</v>
      </c>
      <c r="J56" s="7">
        <v>35.768750000000004</v>
      </c>
      <c r="L56" s="46">
        <v>43484.006944444445</v>
      </c>
      <c r="M56" s="7">
        <v>50.470833333333324</v>
      </c>
      <c r="N56" s="7">
        <v>26.618749999999991</v>
      </c>
    </row>
    <row r="57" spans="8:14" x14ac:dyDescent="0.15">
      <c r="H57" s="46">
        <v>43094.0172916667</v>
      </c>
      <c r="I57" s="7">
        <v>62.412500000000016</v>
      </c>
      <c r="J57" s="7">
        <v>33.19166666666667</v>
      </c>
      <c r="L57" s="46">
        <v>43485.006944444445</v>
      </c>
      <c r="M57" s="7">
        <v>65.362499999999997</v>
      </c>
      <c r="N57" s="7">
        <v>34.264583333333327</v>
      </c>
    </row>
    <row r="58" spans="8:14" x14ac:dyDescent="0.15">
      <c r="H58" s="46">
        <v>43095.0172916667</v>
      </c>
      <c r="I58" s="7">
        <v>66.402083333333323</v>
      </c>
      <c r="J58" s="7">
        <v>35.697916666666671</v>
      </c>
      <c r="L58" s="46">
        <v>43486.006944444445</v>
      </c>
      <c r="M58" s="7">
        <v>64.177083333333329</v>
      </c>
      <c r="N58" s="7">
        <v>32.15625</v>
      </c>
    </row>
    <row r="59" spans="8:14" x14ac:dyDescent="0.15">
      <c r="H59" s="46">
        <v>43096.0172916667</v>
      </c>
      <c r="I59" s="7">
        <v>58.568749999999987</v>
      </c>
      <c r="J59" s="7">
        <v>29.608333333333345</v>
      </c>
      <c r="L59" s="46">
        <v>43487.006944444445</v>
      </c>
      <c r="M59" s="7">
        <v>66.335416666666674</v>
      </c>
      <c r="N59" s="7">
        <v>32.92916666666666</v>
      </c>
    </row>
    <row r="60" spans="8:14" x14ac:dyDescent="0.15">
      <c r="H60" s="46">
        <v>43097.0172916667</v>
      </c>
      <c r="I60" s="7">
        <v>53.968749999999979</v>
      </c>
      <c r="J60" s="7">
        <v>23.841666666666669</v>
      </c>
      <c r="L60" s="46">
        <v>43488.006944444445</v>
      </c>
      <c r="M60" s="7">
        <v>65.831250000000011</v>
      </c>
      <c r="N60" s="7">
        <v>33.685416666666669</v>
      </c>
    </row>
    <row r="61" spans="8:14" x14ac:dyDescent="0.15">
      <c r="H61" s="46">
        <v>43098.0172916667</v>
      </c>
      <c r="I61" s="7">
        <v>63.477083333333326</v>
      </c>
      <c r="J61" s="7">
        <v>30.518749999999994</v>
      </c>
      <c r="L61" s="46">
        <v>43489.006944444445</v>
      </c>
      <c r="M61" s="7">
        <v>67.291666666666671</v>
      </c>
      <c r="N61" s="7">
        <v>34.556249999999999</v>
      </c>
    </row>
    <row r="62" spans="8:14" x14ac:dyDescent="0.15">
      <c r="H62" s="46">
        <v>43099.0172916667</v>
      </c>
      <c r="I62" s="7">
        <v>63.910416666666663</v>
      </c>
      <c r="J62" s="7">
        <v>32.470833333333324</v>
      </c>
      <c r="L62" s="46">
        <v>43490.006944444445</v>
      </c>
      <c r="M62" s="7">
        <v>66.083333333333329</v>
      </c>
      <c r="N62" s="7">
        <v>33.389583333333313</v>
      </c>
    </row>
    <row r="63" spans="8:14" x14ac:dyDescent="0.15">
      <c r="H63" s="46">
        <v>43100.0172916667</v>
      </c>
      <c r="I63" s="7">
        <v>65.256250000000009</v>
      </c>
      <c r="J63" s="7">
        <v>34.279166666666669</v>
      </c>
      <c r="L63" s="46">
        <v>43491.006944444445</v>
      </c>
      <c r="M63" s="7">
        <v>66.49166666666666</v>
      </c>
      <c r="N63" s="7">
        <v>35.052083333333329</v>
      </c>
    </row>
    <row r="64" spans="8:14" x14ac:dyDescent="0.15">
      <c r="H64" s="46">
        <v>43101.0172916667</v>
      </c>
      <c r="I64" s="7">
        <v>61.962500000000006</v>
      </c>
      <c r="J64" s="7">
        <v>31.708333333333343</v>
      </c>
      <c r="L64" s="46">
        <v>43492.006944444445</v>
      </c>
      <c r="M64" s="7">
        <v>65.502083333333331</v>
      </c>
      <c r="N64" s="7">
        <v>34.87083333333333</v>
      </c>
    </row>
    <row r="65" spans="8:14" x14ac:dyDescent="0.15">
      <c r="H65" s="46">
        <v>43102.0172916667</v>
      </c>
      <c r="I65" s="7">
        <v>62.79166666666665</v>
      </c>
      <c r="J65" s="7">
        <v>31.887500000000003</v>
      </c>
      <c r="L65" s="46">
        <v>43493.006944444445</v>
      </c>
      <c r="M65" s="7">
        <v>62.339583333333358</v>
      </c>
      <c r="N65" s="7">
        <v>30.656250000000004</v>
      </c>
    </row>
    <row r="66" spans="8:14" x14ac:dyDescent="0.15">
      <c r="H66" s="46">
        <v>43103.0172916667</v>
      </c>
      <c r="I66" s="7">
        <v>64.191666666666677</v>
      </c>
      <c r="J66" s="7">
        <v>31.502083333333328</v>
      </c>
      <c r="L66" s="46">
        <v>43494.006944444445</v>
      </c>
      <c r="M66" s="7">
        <v>65.649999999999991</v>
      </c>
      <c r="N66" s="7">
        <v>34.206250000000011</v>
      </c>
    </row>
    <row r="67" spans="8:14" x14ac:dyDescent="0.15">
      <c r="H67" s="46">
        <v>43104.0172916667</v>
      </c>
      <c r="I67" s="7">
        <v>65.349999999999994</v>
      </c>
      <c r="J67" s="7">
        <v>32.625</v>
      </c>
      <c r="L67" s="46">
        <v>43495.006944444445</v>
      </c>
      <c r="M67" s="7">
        <v>64.975000000000009</v>
      </c>
      <c r="N67" s="7">
        <v>34.010416666666664</v>
      </c>
    </row>
    <row r="68" spans="8:14" x14ac:dyDescent="0.15">
      <c r="H68" s="46">
        <v>43105.0172916667</v>
      </c>
      <c r="I68" s="7">
        <v>65.637500000000003</v>
      </c>
      <c r="J68" s="7">
        <v>32.122916666666669</v>
      </c>
      <c r="L68" s="46">
        <v>43496.006944444445</v>
      </c>
      <c r="M68" s="7">
        <v>67.197916666666657</v>
      </c>
      <c r="N68" s="7">
        <v>35.733333333333341</v>
      </c>
    </row>
    <row r="69" spans="8:14" x14ac:dyDescent="0.15">
      <c r="H69" s="46">
        <v>43106.0172916667</v>
      </c>
      <c r="I69" s="7">
        <v>67.033333333333303</v>
      </c>
      <c r="J69" s="7">
        <v>34.470833333333331</v>
      </c>
      <c r="L69" s="46">
        <v>43497.006944444445</v>
      </c>
      <c r="M69" s="7">
        <v>66.910416666666663</v>
      </c>
      <c r="N69" s="7">
        <v>34.506250000000009</v>
      </c>
    </row>
    <row r="70" spans="8:14" x14ac:dyDescent="0.15">
      <c r="H70" s="46">
        <v>43107.0172916667</v>
      </c>
      <c r="I70" s="7">
        <v>64.120833333333337</v>
      </c>
      <c r="J70" s="7">
        <v>30.989583333333329</v>
      </c>
      <c r="L70" s="46">
        <v>43498.006944444445</v>
      </c>
      <c r="M70" s="7">
        <v>66.14166666666668</v>
      </c>
      <c r="N70" s="7">
        <v>35.152083333333344</v>
      </c>
    </row>
    <row r="71" spans="8:14" x14ac:dyDescent="0.15">
      <c r="H71" s="46">
        <v>43108.0172916667</v>
      </c>
      <c r="I71" s="7">
        <v>64.602083333333354</v>
      </c>
      <c r="J71" s="7">
        <v>32.131250000000001</v>
      </c>
      <c r="L71" s="46">
        <v>43499.006944444445</v>
      </c>
      <c r="M71" s="7">
        <v>66.618750000000006</v>
      </c>
      <c r="N71" s="7">
        <v>36.45624999999999</v>
      </c>
    </row>
    <row r="72" spans="8:14" x14ac:dyDescent="0.15">
      <c r="H72" s="46">
        <v>43109.0172916667</v>
      </c>
      <c r="I72" s="7">
        <v>67.331250000000026</v>
      </c>
      <c r="J72" s="7">
        <v>34.75</v>
      </c>
      <c r="L72" s="46">
        <v>43500.006944444445</v>
      </c>
      <c r="M72" s="7">
        <v>64.104166666666671</v>
      </c>
      <c r="N72" s="7">
        <v>35.26874999999999</v>
      </c>
    </row>
    <row r="73" spans="8:14" x14ac:dyDescent="0.15">
      <c r="H73" s="46">
        <v>43110.0172916667</v>
      </c>
      <c r="I73" s="7">
        <v>63.60625000000001</v>
      </c>
      <c r="J73" s="7">
        <v>31.3</v>
      </c>
      <c r="L73" s="46">
        <v>43501.006944444445</v>
      </c>
      <c r="M73" s="7">
        <v>52.970833333333353</v>
      </c>
      <c r="N73" s="7">
        <v>25.243750000000002</v>
      </c>
    </row>
    <row r="74" spans="8:14" x14ac:dyDescent="0.15">
      <c r="H74" s="46">
        <v>43111.0172916667</v>
      </c>
      <c r="I74" s="7">
        <v>64.806249999999991</v>
      </c>
      <c r="J74" s="7">
        <v>32.31041666666669</v>
      </c>
      <c r="L74" s="46">
        <v>43502.006944444445</v>
      </c>
      <c r="M74" s="7">
        <v>55.454166666666673</v>
      </c>
      <c r="N74" s="7">
        <v>26.131249999999998</v>
      </c>
    </row>
    <row r="75" spans="8:14" x14ac:dyDescent="0.15">
      <c r="H75" s="46">
        <v>43112.0172916667</v>
      </c>
      <c r="I75" s="7">
        <v>62.235416666666673</v>
      </c>
      <c r="J75" s="7">
        <v>30.389583333333324</v>
      </c>
      <c r="L75" s="46">
        <v>43503.006944444445</v>
      </c>
      <c r="M75" s="7">
        <v>65.366666666666688</v>
      </c>
      <c r="N75" s="7">
        <v>34.208333333333336</v>
      </c>
    </row>
    <row r="76" spans="8:14" x14ac:dyDescent="0.15">
      <c r="H76" s="46">
        <v>43113.0172916667</v>
      </c>
      <c r="I76" s="7">
        <v>50.631250000000001</v>
      </c>
      <c r="J76" s="7">
        <v>22.077083333333331</v>
      </c>
      <c r="L76" s="46">
        <v>43504.006944444445</v>
      </c>
      <c r="M76" s="7">
        <v>67.331249999999983</v>
      </c>
      <c r="N76" s="7">
        <v>35.283333333333324</v>
      </c>
    </row>
    <row r="77" spans="8:14" x14ac:dyDescent="0.15">
      <c r="H77" s="46">
        <v>43114.0172916667</v>
      </c>
      <c r="I77" s="7">
        <v>46.11458333333335</v>
      </c>
      <c r="J77" s="7">
        <v>16.970833333333339</v>
      </c>
      <c r="L77" s="46">
        <v>43505.006944444445</v>
      </c>
      <c r="M77" s="7">
        <v>68.93541666666664</v>
      </c>
      <c r="N77" s="7">
        <v>37.074999999999996</v>
      </c>
    </row>
    <row r="78" spans="8:14" x14ac:dyDescent="0.15">
      <c r="H78" s="46">
        <v>43115.0172916667</v>
      </c>
      <c r="I78" s="7">
        <v>62.06458333333331</v>
      </c>
      <c r="J78" s="7">
        <v>26.935416666666669</v>
      </c>
      <c r="L78" s="46">
        <v>43506.006944444445</v>
      </c>
      <c r="M78" s="7">
        <v>68.622916666666669</v>
      </c>
      <c r="N78" s="7">
        <v>36.6</v>
      </c>
    </row>
    <row r="79" spans="8:14" x14ac:dyDescent="0.15">
      <c r="H79" s="46">
        <v>43116.0172916667</v>
      </c>
      <c r="I79" s="7">
        <v>64.652083333333323</v>
      </c>
      <c r="J79" s="7">
        <v>32.118749999999999</v>
      </c>
      <c r="L79" s="46">
        <v>43507.006944444445</v>
      </c>
      <c r="M79" s="7">
        <v>67.206250000000011</v>
      </c>
      <c r="N79" s="7">
        <v>36.162499999999994</v>
      </c>
    </row>
    <row r="80" spans="8:14" x14ac:dyDescent="0.15">
      <c r="H80" s="46">
        <v>43117.0172916667</v>
      </c>
      <c r="I80" s="7">
        <v>65.36875000000002</v>
      </c>
      <c r="J80" s="7">
        <v>32.935416666666661</v>
      </c>
      <c r="L80" s="46">
        <v>43508.006944444445</v>
      </c>
      <c r="M80" s="7">
        <v>66.368749999999991</v>
      </c>
      <c r="N80" s="7">
        <v>35.675000000000004</v>
      </c>
    </row>
    <row r="81" spans="8:14" x14ac:dyDescent="0.15">
      <c r="H81" s="46">
        <v>43118.0172916667</v>
      </c>
      <c r="I81" s="7">
        <v>64.866666666666688</v>
      </c>
      <c r="J81" s="7">
        <v>30.681249999999991</v>
      </c>
      <c r="L81" s="46">
        <v>43509.006944444445</v>
      </c>
      <c r="M81" s="7">
        <v>66.574999999999989</v>
      </c>
      <c r="N81" s="7">
        <v>35.035416666666656</v>
      </c>
    </row>
    <row r="82" spans="8:14" x14ac:dyDescent="0.15">
      <c r="H82" s="46">
        <v>43119.0172916667</v>
      </c>
      <c r="I82" s="7">
        <v>65.864583333333329</v>
      </c>
      <c r="J82" s="7">
        <v>32.127083333333339</v>
      </c>
      <c r="L82" s="46">
        <v>43510.006944444445</v>
      </c>
      <c r="M82" s="7">
        <v>56.685416666666661</v>
      </c>
      <c r="N82" s="7">
        <v>27.027083333333337</v>
      </c>
    </row>
    <row r="83" spans="8:14" x14ac:dyDescent="0.15">
      <c r="H83" s="46">
        <v>43120.0172916667</v>
      </c>
      <c r="I83" s="7">
        <v>67.639583333333348</v>
      </c>
      <c r="J83" s="7">
        <v>34.033333333333331</v>
      </c>
      <c r="L83" s="46">
        <v>43511.006944444445</v>
      </c>
      <c r="M83" s="7">
        <v>68.785416666666663</v>
      </c>
      <c r="N83" s="7">
        <v>34.339583333333351</v>
      </c>
    </row>
    <row r="84" spans="8:14" x14ac:dyDescent="0.15">
      <c r="H84" s="46">
        <v>43121.0172916667</v>
      </c>
      <c r="I84" s="7">
        <v>65.393749999999997</v>
      </c>
      <c r="J84" s="7">
        <v>33.500000000000014</v>
      </c>
      <c r="L84" s="46">
        <v>43512.006944444445</v>
      </c>
      <c r="M84" s="7">
        <v>65.504166666666649</v>
      </c>
      <c r="N84" s="7">
        <v>34.618749999999999</v>
      </c>
    </row>
    <row r="85" spans="8:14" x14ac:dyDescent="0.15">
      <c r="H85" s="46">
        <v>43122.0172916667</v>
      </c>
      <c r="I85" s="7">
        <v>65.106250000000003</v>
      </c>
      <c r="J85" s="7">
        <v>30.129166666666666</v>
      </c>
      <c r="L85" s="46">
        <v>43513.006944444445</v>
      </c>
      <c r="M85" s="7">
        <v>66.260416666666671</v>
      </c>
      <c r="N85" s="7">
        <v>34.393750000000004</v>
      </c>
    </row>
    <row r="86" spans="8:14" x14ac:dyDescent="0.15">
      <c r="H86" s="46">
        <v>43123.0172916667</v>
      </c>
      <c r="I86" s="7">
        <v>66.21041666666666</v>
      </c>
      <c r="J86" s="7">
        <v>31.716666666666669</v>
      </c>
      <c r="L86" s="46">
        <v>43514.006944444445</v>
      </c>
      <c r="M86" s="7">
        <v>69.652083333333323</v>
      </c>
      <c r="N86" s="7">
        <v>37.708333333333336</v>
      </c>
    </row>
    <row r="87" spans="8:14" x14ac:dyDescent="0.15">
      <c r="H87" s="46">
        <v>43124.0172916667</v>
      </c>
      <c r="I87" s="7">
        <v>67.502083333333331</v>
      </c>
      <c r="J87" s="7">
        <v>31.629166666666663</v>
      </c>
      <c r="L87" s="46">
        <v>43515.006944444445</v>
      </c>
      <c r="M87" s="7">
        <v>66.760416666666657</v>
      </c>
      <c r="N87" s="7">
        <v>36.627083333333339</v>
      </c>
    </row>
    <row r="88" spans="8:14" x14ac:dyDescent="0.15">
      <c r="H88" s="46">
        <v>43125.0172916667</v>
      </c>
      <c r="I88" s="7">
        <v>67.681249999999991</v>
      </c>
      <c r="J88" s="7">
        <v>24.477083333333329</v>
      </c>
      <c r="L88" s="46">
        <v>43516.006944444445</v>
      </c>
      <c r="M88" s="7">
        <v>63.179166666666667</v>
      </c>
      <c r="N88" s="7">
        <v>33.458333333333336</v>
      </c>
    </row>
    <row r="89" spans="8:14" x14ac:dyDescent="0.15">
      <c r="H89" s="46">
        <v>43126.0172916667</v>
      </c>
      <c r="I89" s="7">
        <v>65.75833333333334</v>
      </c>
      <c r="J89" s="7">
        <v>29.833333333333332</v>
      </c>
      <c r="L89" s="46">
        <v>43517.006944444445</v>
      </c>
      <c r="M89" s="7">
        <v>64.67916666666666</v>
      </c>
      <c r="N89" s="7">
        <v>33.05833333333333</v>
      </c>
    </row>
    <row r="90" spans="8:14" x14ac:dyDescent="0.15">
      <c r="H90" s="46">
        <v>43127.0172916667</v>
      </c>
      <c r="I90" s="7">
        <v>63.849999999999994</v>
      </c>
      <c r="J90" s="7">
        <v>28.468750000000011</v>
      </c>
      <c r="L90" s="46">
        <v>43518.006944444445</v>
      </c>
      <c r="M90" s="7">
        <v>53.814583333333324</v>
      </c>
      <c r="N90" s="7">
        <v>26.972916666666666</v>
      </c>
    </row>
    <row r="91" spans="8:14" x14ac:dyDescent="0.15">
      <c r="H91" s="46">
        <v>43128.0172916667</v>
      </c>
      <c r="I91" s="7">
        <v>62.133333333333361</v>
      </c>
      <c r="J91" s="7">
        <v>14.618749999999999</v>
      </c>
      <c r="L91" s="46">
        <v>43519.006944444445</v>
      </c>
      <c r="M91" s="7">
        <v>43.939583333333339</v>
      </c>
      <c r="N91" s="7">
        <v>19.429166666666671</v>
      </c>
    </row>
    <row r="92" spans="8:14" x14ac:dyDescent="0.15">
      <c r="H92" s="46">
        <v>43129.0172916667</v>
      </c>
      <c r="I92" s="7">
        <v>60.625000000000007</v>
      </c>
      <c r="J92" s="7">
        <v>0</v>
      </c>
      <c r="L92" s="46">
        <v>43520.006944444445</v>
      </c>
      <c r="M92" s="7">
        <v>33.091666666666676</v>
      </c>
      <c r="N92" s="7">
        <v>16.027083333333334</v>
      </c>
    </row>
    <row r="93" spans="8:14" x14ac:dyDescent="0.15">
      <c r="H93" s="46">
        <v>43130.0172916667</v>
      </c>
      <c r="I93" s="7">
        <v>62.127083333333331</v>
      </c>
      <c r="J93" s="7">
        <v>0</v>
      </c>
      <c r="L93" s="46">
        <v>43521.006944444445</v>
      </c>
      <c r="M93" s="7">
        <v>64.060416666666654</v>
      </c>
      <c r="N93" s="7">
        <v>31.852083333333329</v>
      </c>
    </row>
    <row r="94" spans="8:14" x14ac:dyDescent="0.15">
      <c r="H94" s="46">
        <v>43131.0172916667</v>
      </c>
      <c r="I94" s="7">
        <v>63.341666666666676</v>
      </c>
      <c r="J94" s="7">
        <v>0</v>
      </c>
      <c r="L94" s="46">
        <v>43522.006944444445</v>
      </c>
      <c r="M94" s="7">
        <v>61.977083333333326</v>
      </c>
      <c r="N94" s="7">
        <v>31.545833333333324</v>
      </c>
    </row>
    <row r="95" spans="8:14" x14ac:dyDescent="0.15">
      <c r="H95" s="46">
        <v>43132.0172916667</v>
      </c>
      <c r="I95" s="7">
        <v>66.268749999999997</v>
      </c>
      <c r="J95" s="7">
        <v>0</v>
      </c>
      <c r="L95" s="46">
        <v>43523.006944444445</v>
      </c>
      <c r="M95" s="7">
        <v>63.079166666666659</v>
      </c>
      <c r="N95" s="7">
        <v>32.300000000000004</v>
      </c>
    </row>
    <row r="96" spans="8:14" x14ac:dyDescent="0.15">
      <c r="H96" s="46">
        <v>43133.0172916667</v>
      </c>
      <c r="I96" s="7">
        <v>65.999999999999986</v>
      </c>
      <c r="J96" s="7">
        <v>18.108333333333331</v>
      </c>
      <c r="L96" s="46">
        <v>43524.006944444445</v>
      </c>
      <c r="M96" s="7">
        <v>65.891666666666666</v>
      </c>
      <c r="N96" s="7">
        <v>37.175000000000004</v>
      </c>
    </row>
    <row r="97" spans="8:14" x14ac:dyDescent="0.15">
      <c r="H97" s="46">
        <v>43134.0172916667</v>
      </c>
      <c r="I97" s="7">
        <v>59.554166666666667</v>
      </c>
      <c r="J97" s="7">
        <v>29.054166666666664</v>
      </c>
      <c r="L97" s="46">
        <v>43525.006944444445</v>
      </c>
      <c r="M97" s="7">
        <v>65.516666666666694</v>
      </c>
      <c r="N97" s="7">
        <v>35.804166666666667</v>
      </c>
    </row>
    <row r="98" spans="8:14" x14ac:dyDescent="0.15">
      <c r="H98" s="46">
        <v>43135.0172916667</v>
      </c>
      <c r="I98" s="7">
        <v>55.77708333333333</v>
      </c>
      <c r="J98" s="7">
        <v>23.989583333333329</v>
      </c>
      <c r="L98" s="46">
        <v>43526.006944444445</v>
      </c>
      <c r="M98" s="7">
        <v>66.091666666666683</v>
      </c>
      <c r="N98" s="7">
        <v>34.739583333333336</v>
      </c>
    </row>
    <row r="99" spans="8:14" x14ac:dyDescent="0.15">
      <c r="H99" s="46">
        <v>43136.0172916667</v>
      </c>
      <c r="I99" s="7">
        <v>64.01458333333332</v>
      </c>
      <c r="J99" s="7">
        <v>31.489583333333353</v>
      </c>
      <c r="L99" s="46">
        <v>43527.006944444445</v>
      </c>
      <c r="M99" s="7">
        <v>66.33541666666666</v>
      </c>
      <c r="N99" s="7">
        <v>36.927083333333336</v>
      </c>
    </row>
    <row r="100" spans="8:14" x14ac:dyDescent="0.15">
      <c r="H100" s="46">
        <v>43137.0172916667</v>
      </c>
      <c r="I100" s="7">
        <v>65.44583333333334</v>
      </c>
      <c r="J100" s="7">
        <v>32.108333333333327</v>
      </c>
      <c r="L100" s="46">
        <v>43528.006944444445</v>
      </c>
      <c r="M100" s="7">
        <v>67.493749999999991</v>
      </c>
      <c r="N100" s="7">
        <v>38.927083333333321</v>
      </c>
    </row>
    <row r="101" spans="8:14" x14ac:dyDescent="0.15">
      <c r="H101" s="46">
        <v>43138.0172916667</v>
      </c>
      <c r="I101" s="7">
        <v>65.664583333333312</v>
      </c>
      <c r="J101" s="7">
        <v>33.31666666666667</v>
      </c>
      <c r="L101" s="46">
        <v>43529.006944444445</v>
      </c>
      <c r="M101" s="7">
        <v>65.241666666666688</v>
      </c>
      <c r="N101" s="7">
        <v>36.366666666666674</v>
      </c>
    </row>
    <row r="102" spans="8:14" x14ac:dyDescent="0.15">
      <c r="H102" s="46">
        <v>43139.0172916667</v>
      </c>
      <c r="I102" s="7">
        <v>65.554166666666674</v>
      </c>
      <c r="J102" s="7">
        <v>33.075000000000003</v>
      </c>
      <c r="L102" s="46">
        <v>43530.006944444445</v>
      </c>
      <c r="M102" s="7">
        <v>66.160416666666677</v>
      </c>
      <c r="N102" s="7">
        <v>36.383333333333333</v>
      </c>
    </row>
    <row r="103" spans="8:14" x14ac:dyDescent="0.15">
      <c r="H103" s="46">
        <v>43140.0172916667</v>
      </c>
      <c r="I103" s="7">
        <v>66.277083333333309</v>
      </c>
      <c r="J103" s="7">
        <v>33.862500000000004</v>
      </c>
      <c r="L103" s="46">
        <v>43531.006944444445</v>
      </c>
      <c r="M103" s="7">
        <v>66.456249999999997</v>
      </c>
      <c r="N103" s="7">
        <v>36.631250000000001</v>
      </c>
    </row>
    <row r="104" spans="8:14" x14ac:dyDescent="0.15">
      <c r="H104" s="46">
        <v>43141.0172916667</v>
      </c>
      <c r="I104" s="7">
        <v>65.604166666666671</v>
      </c>
      <c r="J104" s="7">
        <v>33.227083333333333</v>
      </c>
      <c r="L104" s="46">
        <v>43532.006944444445</v>
      </c>
      <c r="M104" s="7">
        <v>65.450000000000017</v>
      </c>
      <c r="N104" s="7">
        <v>34.358333333333327</v>
      </c>
    </row>
    <row r="105" spans="8:14" x14ac:dyDescent="0.15">
      <c r="H105" s="46">
        <v>43142.0172916667</v>
      </c>
      <c r="I105" s="7">
        <v>65.256249999999994</v>
      </c>
      <c r="J105" s="7">
        <v>33.600000000000009</v>
      </c>
      <c r="L105" s="46">
        <v>43533.006944444445</v>
      </c>
      <c r="M105" s="7">
        <v>64.897916666666688</v>
      </c>
      <c r="N105" s="7">
        <v>34.733333333333356</v>
      </c>
    </row>
    <row r="106" spans="8:14" x14ac:dyDescent="0.15">
      <c r="H106" s="46">
        <v>43143.0172916667</v>
      </c>
      <c r="I106" s="7">
        <v>65.497916666666654</v>
      </c>
      <c r="J106" s="7">
        <v>33.197916666666671</v>
      </c>
      <c r="L106" s="46">
        <v>43534.006944444445</v>
      </c>
      <c r="M106" s="7">
        <v>65.958333333333314</v>
      </c>
      <c r="N106" s="7">
        <v>36.620833333333337</v>
      </c>
    </row>
    <row r="107" spans="8:14" x14ac:dyDescent="0.15">
      <c r="H107" s="46">
        <v>43144.0172916667</v>
      </c>
      <c r="I107" s="7">
        <v>64.627083333333346</v>
      </c>
      <c r="J107" s="7">
        <v>32.006250000000001</v>
      </c>
      <c r="L107" s="46">
        <v>43535.006944444445</v>
      </c>
      <c r="M107" s="7">
        <v>66.575000000000003</v>
      </c>
      <c r="N107" s="7">
        <v>35.475000000000009</v>
      </c>
    </row>
    <row r="108" spans="8:14" x14ac:dyDescent="0.15">
      <c r="H108" s="46">
        <v>43145.0172916667</v>
      </c>
      <c r="I108" s="7">
        <v>52.981249999999989</v>
      </c>
      <c r="J108" s="7">
        <v>25.427083333333339</v>
      </c>
      <c r="L108" s="46">
        <v>43536.006944444445</v>
      </c>
      <c r="M108" s="7">
        <v>66.006250000000009</v>
      </c>
      <c r="N108" s="7">
        <v>35.283333333333331</v>
      </c>
    </row>
    <row r="109" spans="8:14" x14ac:dyDescent="0.15">
      <c r="H109" s="46">
        <v>43146.0172916667</v>
      </c>
      <c r="I109" s="7">
        <v>48.35625000000001</v>
      </c>
      <c r="J109" s="7">
        <v>19.779166666666669</v>
      </c>
      <c r="L109" s="46">
        <v>43537.006944444445</v>
      </c>
      <c r="M109" s="7">
        <v>65.877083333333346</v>
      </c>
      <c r="N109" s="7">
        <v>36.977083333333333</v>
      </c>
    </row>
    <row r="110" spans="8:14" x14ac:dyDescent="0.15">
      <c r="H110" s="46">
        <v>43147.0172916667</v>
      </c>
      <c r="I110" s="7">
        <v>58.437499999999979</v>
      </c>
      <c r="J110" s="7">
        <v>25.483333333333331</v>
      </c>
      <c r="L110" s="46">
        <v>43538.006944444445</v>
      </c>
      <c r="M110" s="7">
        <v>65.987499999999997</v>
      </c>
      <c r="N110" s="7">
        <v>36.266666666666673</v>
      </c>
    </row>
    <row r="111" spans="8:14" x14ac:dyDescent="0.15">
      <c r="H111" s="46">
        <v>43148.0172916667</v>
      </c>
      <c r="I111" s="7">
        <v>64.810416666666654</v>
      </c>
      <c r="J111" s="7">
        <v>32.185416666666661</v>
      </c>
      <c r="L111" s="46">
        <v>43539.006944444445</v>
      </c>
      <c r="M111" s="7">
        <v>66.99166666666666</v>
      </c>
      <c r="N111" s="7">
        <v>36.910416666666663</v>
      </c>
    </row>
    <row r="112" spans="8:14" x14ac:dyDescent="0.15">
      <c r="H112" s="46">
        <v>43149.0172916667</v>
      </c>
      <c r="I112" s="7">
        <v>66.64791666666666</v>
      </c>
      <c r="J112" s="7">
        <v>30.802083333333332</v>
      </c>
      <c r="L112" s="46">
        <v>43540.006944444445</v>
      </c>
      <c r="M112" s="7">
        <v>67.193750000000009</v>
      </c>
      <c r="N112" s="7">
        <v>35.554166666666667</v>
      </c>
    </row>
    <row r="113" spans="8:14" x14ac:dyDescent="0.15">
      <c r="H113" s="46">
        <v>43150.0172916667</v>
      </c>
      <c r="I113" s="7">
        <v>66.902083333333351</v>
      </c>
      <c r="J113" s="7">
        <v>33.216666666666669</v>
      </c>
      <c r="L113" s="46">
        <v>43541.006944444445</v>
      </c>
      <c r="M113" s="7">
        <v>67.41458333333334</v>
      </c>
      <c r="N113" s="7">
        <v>36.139583333333327</v>
      </c>
    </row>
    <row r="114" spans="8:14" x14ac:dyDescent="0.15">
      <c r="H114" s="46">
        <v>43151.0172916667</v>
      </c>
      <c r="I114" s="7">
        <v>64.04791666666668</v>
      </c>
      <c r="J114" s="7">
        <v>30.806250000000002</v>
      </c>
      <c r="L114" s="46">
        <v>43542.006944444445</v>
      </c>
      <c r="M114" s="7">
        <v>61.899999999999977</v>
      </c>
      <c r="N114" s="7">
        <v>32.966666666666669</v>
      </c>
    </row>
    <row r="115" spans="8:14" x14ac:dyDescent="0.15">
      <c r="H115" s="46">
        <v>43152.0172916667</v>
      </c>
      <c r="I115" s="7">
        <v>64.681249999999991</v>
      </c>
      <c r="J115" s="7">
        <v>30.435416666666665</v>
      </c>
      <c r="L115" s="46">
        <v>43543.006944444445</v>
      </c>
      <c r="M115" s="7">
        <v>52.868749999999999</v>
      </c>
      <c r="N115" s="7">
        <v>27.137499999999992</v>
      </c>
    </row>
    <row r="116" spans="8:14" x14ac:dyDescent="0.15">
      <c r="H116" s="46">
        <v>43153.0172916667</v>
      </c>
      <c r="I116" s="7">
        <v>66.858333333333348</v>
      </c>
      <c r="J116" s="7">
        <v>32.94166666666667</v>
      </c>
      <c r="L116" s="46">
        <v>43544.006944444445</v>
      </c>
      <c r="M116" s="7">
        <v>43.197916666666664</v>
      </c>
      <c r="N116" s="7">
        <v>21.256250000000001</v>
      </c>
    </row>
    <row r="117" spans="8:14" x14ac:dyDescent="0.15">
      <c r="H117" s="46">
        <v>43154.0172916667</v>
      </c>
      <c r="I117" s="7">
        <v>66.608333333333348</v>
      </c>
      <c r="J117" s="7">
        <v>33.052083333333336</v>
      </c>
      <c r="L117" s="46">
        <v>43545.006944444445</v>
      </c>
      <c r="M117" s="7">
        <v>51.545833333333341</v>
      </c>
      <c r="N117" s="7">
        <v>25.412500000000009</v>
      </c>
    </row>
    <row r="118" spans="8:14" x14ac:dyDescent="0.15">
      <c r="H118" s="46">
        <v>43155.0172916667</v>
      </c>
      <c r="I118" s="7">
        <v>65.916666666666671</v>
      </c>
      <c r="J118" s="7">
        <v>31.543749999999999</v>
      </c>
      <c r="L118" s="46">
        <v>43546.006944444445</v>
      </c>
      <c r="M118" s="7">
        <v>61.087499999999999</v>
      </c>
      <c r="N118" s="7">
        <v>33.212499999999999</v>
      </c>
    </row>
    <row r="119" spans="8:14" x14ac:dyDescent="0.15">
      <c r="H119" s="46">
        <v>43156.0172916667</v>
      </c>
      <c r="I119" s="7">
        <v>66.360416666666637</v>
      </c>
      <c r="J119" s="7">
        <v>31.918749999999999</v>
      </c>
    </row>
    <row r="120" spans="8:14" x14ac:dyDescent="0.15">
      <c r="H120" s="46">
        <v>43157.0172916667</v>
      </c>
      <c r="I120" s="7">
        <v>66.627083333333317</v>
      </c>
      <c r="J120" s="7">
        <v>33.574999999999996</v>
      </c>
    </row>
    <row r="121" spans="8:14" x14ac:dyDescent="0.15">
      <c r="H121" s="46">
        <v>43158.0172916667</v>
      </c>
      <c r="I121" s="7">
        <v>65.72708333333334</v>
      </c>
      <c r="J121" s="7">
        <v>33.739583333333329</v>
      </c>
    </row>
    <row r="122" spans="8:14" x14ac:dyDescent="0.15">
      <c r="H122" s="46">
        <v>43159.0172916667</v>
      </c>
      <c r="I122" s="7">
        <v>66.793750000000017</v>
      </c>
      <c r="J122" s="7">
        <v>34.489583333333336</v>
      </c>
    </row>
    <row r="123" spans="8:14" x14ac:dyDescent="0.15">
      <c r="H123" s="46">
        <v>43160.0172916667</v>
      </c>
      <c r="I123" s="7">
        <v>66.139583333333334</v>
      </c>
      <c r="J123" s="7">
        <v>34.868750000000006</v>
      </c>
    </row>
    <row r="124" spans="8:14" x14ac:dyDescent="0.15">
      <c r="H124" s="46">
        <v>43161.0172916667</v>
      </c>
      <c r="I124" s="7">
        <v>66.329166666666652</v>
      </c>
      <c r="J124" s="7">
        <v>33.837499999999999</v>
      </c>
    </row>
    <row r="125" spans="8:14" x14ac:dyDescent="0.15">
      <c r="H125" s="46">
        <v>43162.0172916667</v>
      </c>
      <c r="I125" s="7">
        <v>66.260416666666671</v>
      </c>
      <c r="J125" s="7">
        <v>34.572916666666664</v>
      </c>
    </row>
    <row r="126" spans="8:14" x14ac:dyDescent="0.15">
      <c r="H126" s="46">
        <v>43163.0172916667</v>
      </c>
      <c r="I126" s="7">
        <v>66.964583333333309</v>
      </c>
      <c r="J126" s="7">
        <v>36.62916666666667</v>
      </c>
    </row>
    <row r="127" spans="8:14" x14ac:dyDescent="0.15">
      <c r="H127" s="46">
        <v>43164.0172916667</v>
      </c>
      <c r="I127" s="7">
        <v>66.725000000000009</v>
      </c>
      <c r="J127" s="7">
        <v>36.243750000000013</v>
      </c>
    </row>
    <row r="128" spans="8:14" x14ac:dyDescent="0.15">
      <c r="H128" s="46">
        <v>43165.0172916667</v>
      </c>
      <c r="I128" s="7">
        <v>64.377083333333331</v>
      </c>
      <c r="J128" s="7">
        <v>30.487500000000001</v>
      </c>
    </row>
    <row r="129" spans="8:10" x14ac:dyDescent="0.15">
      <c r="H129" s="46">
        <v>43166.0172916667</v>
      </c>
      <c r="I129" s="7">
        <v>59.883333333333354</v>
      </c>
      <c r="J129" s="7">
        <v>28.535416666666666</v>
      </c>
    </row>
    <row r="130" spans="8:10" x14ac:dyDescent="0.15">
      <c r="H130" s="46">
        <v>43167.0172916667</v>
      </c>
      <c r="I130" s="7">
        <v>48.566666666666656</v>
      </c>
      <c r="J130" s="7">
        <v>21.724999999999994</v>
      </c>
    </row>
    <row r="131" spans="8:10" x14ac:dyDescent="0.15">
      <c r="H131" s="46">
        <v>43168.0172916667</v>
      </c>
      <c r="I131" s="7">
        <v>66.456249999999997</v>
      </c>
      <c r="J131" s="7">
        <v>30.972916666666666</v>
      </c>
    </row>
    <row r="132" spans="8:10" x14ac:dyDescent="0.15">
      <c r="H132" s="46">
        <v>43169.0172916667</v>
      </c>
      <c r="I132" s="7">
        <v>67.097916666666634</v>
      </c>
      <c r="J132" s="7">
        <v>32.300000000000004</v>
      </c>
    </row>
    <row r="133" spans="8:10" x14ac:dyDescent="0.15">
      <c r="H133" s="46">
        <v>43170.0172916667</v>
      </c>
      <c r="I133" s="7">
        <v>65.439583333333346</v>
      </c>
      <c r="J133" s="7">
        <v>32.837499999999999</v>
      </c>
    </row>
    <row r="134" spans="8:10" x14ac:dyDescent="0.15">
      <c r="H134" s="46">
        <v>43171.0172916667</v>
      </c>
      <c r="I134" s="7">
        <v>67.45</v>
      </c>
      <c r="J134" s="7">
        <v>32.610416666666673</v>
      </c>
    </row>
    <row r="135" spans="8:10" x14ac:dyDescent="0.15">
      <c r="H135" s="46">
        <v>43172.0172916667</v>
      </c>
      <c r="I135" s="7">
        <v>69.621052631578962</v>
      </c>
      <c r="J135" s="7">
        <v>40.057894736842115</v>
      </c>
    </row>
  </sheetData>
  <mergeCells count="8">
    <mergeCell ref="Q2:T2"/>
    <mergeCell ref="W1:X1"/>
    <mergeCell ref="A11:F11"/>
    <mergeCell ref="C2:E2"/>
    <mergeCell ref="A5:A6"/>
    <mergeCell ref="A7:A8"/>
    <mergeCell ref="B9:F9"/>
    <mergeCell ref="B10:F10"/>
  </mergeCells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35F00-3D0A-4335-8ADF-107979CF034A}">
  <dimension ref="A1:AX390"/>
  <sheetViews>
    <sheetView showGridLines="0" zoomScaleNormal="100" workbookViewId="0">
      <selection activeCell="F22" sqref="F22"/>
    </sheetView>
  </sheetViews>
  <sheetFormatPr defaultColWidth="9" defaultRowHeight="15" x14ac:dyDescent="0.15"/>
  <cols>
    <col min="1" max="1" width="4.75" style="1" bestFit="1" customWidth="1"/>
    <col min="2" max="2" width="7" style="1" bestFit="1" customWidth="1"/>
    <col min="3" max="3" width="4.125" style="1" bestFit="1" customWidth="1"/>
    <col min="4" max="4" width="6.625" style="1" bestFit="1" customWidth="1"/>
    <col min="5" max="5" width="6.875" style="1" bestFit="1" customWidth="1"/>
    <col min="6" max="6" width="5" style="1" bestFit="1" customWidth="1"/>
    <col min="7" max="7" width="5.625" style="1" bestFit="1" customWidth="1"/>
    <col min="8" max="8" width="6.75" style="1" bestFit="1" customWidth="1"/>
    <col min="9" max="9" width="5.625" style="1" bestFit="1" customWidth="1"/>
    <col min="10" max="10" width="7.125" style="1" bestFit="1" customWidth="1"/>
    <col min="13" max="31" width="9" style="1"/>
    <col min="33" max="34" width="9" style="1"/>
    <col min="35" max="35" width="11.625" style="1" bestFit="1" customWidth="1"/>
    <col min="36" max="16384" width="9" style="1"/>
  </cols>
  <sheetData>
    <row r="1" spans="1:50" x14ac:dyDescent="0.15">
      <c r="M1"/>
      <c r="N1"/>
      <c r="O1" s="13"/>
      <c r="P1" s="13"/>
      <c r="Q1" s="13"/>
      <c r="R1" s="13"/>
      <c r="S1" s="13"/>
      <c r="T1" s="13"/>
      <c r="U1" s="13"/>
      <c r="V1"/>
      <c r="W1"/>
      <c r="X1" s="15"/>
      <c r="Y1" s="15"/>
      <c r="Z1" s="15"/>
      <c r="AA1" s="15"/>
      <c r="AB1" s="15"/>
      <c r="AC1" s="15"/>
      <c r="AD1" s="15"/>
    </row>
    <row r="2" spans="1:50" x14ac:dyDescent="0.15">
      <c r="A2"/>
      <c r="B2"/>
      <c r="C2"/>
      <c r="D2"/>
      <c r="E2"/>
      <c r="F2"/>
      <c r="G2"/>
      <c r="H2"/>
      <c r="I2"/>
      <c r="J2"/>
      <c r="M2"/>
      <c r="N2"/>
      <c r="O2" s="13"/>
      <c r="P2" s="13"/>
      <c r="Q2" s="13"/>
      <c r="R2" s="13"/>
      <c r="S2" s="13"/>
      <c r="T2" s="13"/>
      <c r="U2" s="13"/>
      <c r="V2"/>
      <c r="W2"/>
      <c r="X2" s="15"/>
      <c r="Y2" s="15"/>
      <c r="Z2" s="15"/>
      <c r="AA2" s="15"/>
      <c r="AB2" s="15"/>
      <c r="AC2" s="15"/>
      <c r="AD2" s="1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</row>
    <row r="3" spans="1:50" ht="15" customHeight="1" thickBot="1" x14ac:dyDescent="0.2">
      <c r="L3" s="89" t="s">
        <v>45</v>
      </c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F3" s="90" t="s">
        <v>43</v>
      </c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</row>
    <row r="4" spans="1:50" ht="27.75" thickTop="1" x14ac:dyDescent="0.15">
      <c r="A4" s="158"/>
      <c r="B4" s="158"/>
      <c r="C4" s="124" t="s">
        <v>145</v>
      </c>
      <c r="D4" s="3" t="s">
        <v>146</v>
      </c>
      <c r="E4" s="153" t="s">
        <v>148</v>
      </c>
      <c r="F4" s="153" t="s">
        <v>150</v>
      </c>
      <c r="G4" s="124" t="s">
        <v>152</v>
      </c>
      <c r="H4" s="124" t="s">
        <v>153</v>
      </c>
      <c r="I4" s="124" t="s">
        <v>154</v>
      </c>
      <c r="J4" s="124" t="s">
        <v>155</v>
      </c>
      <c r="L4" s="36" t="s">
        <v>46</v>
      </c>
      <c r="M4" s="21" t="s">
        <v>6</v>
      </c>
      <c r="N4" s="19" t="s">
        <v>42</v>
      </c>
      <c r="O4" s="18" t="s">
        <v>0</v>
      </c>
      <c r="P4" s="19" t="s">
        <v>1</v>
      </c>
      <c r="Q4" s="19" t="s">
        <v>2</v>
      </c>
      <c r="R4" s="20" t="s">
        <v>3</v>
      </c>
      <c r="S4" s="20" t="s">
        <v>4</v>
      </c>
      <c r="T4" s="20" t="s">
        <v>44</v>
      </c>
      <c r="U4" s="32" t="s">
        <v>41</v>
      </c>
      <c r="V4" s="22" t="s">
        <v>7</v>
      </c>
      <c r="W4" s="19" t="s">
        <v>42</v>
      </c>
      <c r="X4" s="18" t="s">
        <v>0</v>
      </c>
      <c r="Y4" s="19" t="s">
        <v>1</v>
      </c>
      <c r="Z4" s="19" t="s">
        <v>2</v>
      </c>
      <c r="AA4" s="20" t="s">
        <v>3</v>
      </c>
      <c r="AB4" s="20" t="s">
        <v>4</v>
      </c>
      <c r="AC4" s="20" t="s">
        <v>44</v>
      </c>
      <c r="AD4" s="20" t="s">
        <v>41</v>
      </c>
      <c r="AF4" s="36" t="s">
        <v>46</v>
      </c>
      <c r="AG4" s="21" t="s">
        <v>6</v>
      </c>
      <c r="AH4" s="19" t="s">
        <v>42</v>
      </c>
      <c r="AI4" s="18" t="s">
        <v>0</v>
      </c>
      <c r="AJ4" s="19" t="s">
        <v>1</v>
      </c>
      <c r="AK4" s="19" t="s">
        <v>2</v>
      </c>
      <c r="AL4" s="20" t="s">
        <v>3</v>
      </c>
      <c r="AM4" s="20" t="s">
        <v>4</v>
      </c>
      <c r="AN4" s="20" t="s">
        <v>44</v>
      </c>
      <c r="AO4" s="20" t="s">
        <v>41</v>
      </c>
      <c r="AP4" s="23" t="s">
        <v>7</v>
      </c>
      <c r="AQ4" s="19" t="s">
        <v>42</v>
      </c>
      <c r="AR4" s="18" t="s">
        <v>0</v>
      </c>
      <c r="AS4" s="19" t="s">
        <v>1</v>
      </c>
      <c r="AT4" s="19" t="s">
        <v>2</v>
      </c>
      <c r="AU4" s="20" t="s">
        <v>3</v>
      </c>
      <c r="AV4" s="20" t="s">
        <v>4</v>
      </c>
      <c r="AW4" s="20" t="s">
        <v>44</v>
      </c>
      <c r="AX4" s="20" t="s">
        <v>41</v>
      </c>
    </row>
    <row r="5" spans="1:50" x14ac:dyDescent="0.15">
      <c r="A5" s="159"/>
      <c r="B5" s="159"/>
      <c r="C5" s="113"/>
      <c r="D5" s="161" t="s">
        <v>147</v>
      </c>
      <c r="E5" s="156" t="s">
        <v>149</v>
      </c>
      <c r="F5" s="156" t="s">
        <v>151</v>
      </c>
      <c r="G5" s="113"/>
      <c r="H5" s="113"/>
      <c r="I5" s="113"/>
      <c r="J5" s="113"/>
      <c r="L5" s="37">
        <v>1</v>
      </c>
      <c r="M5">
        <v>2013.11</v>
      </c>
      <c r="N5" s="26">
        <v>250807</v>
      </c>
      <c r="O5" s="26">
        <v>1</v>
      </c>
      <c r="P5" s="26">
        <v>106</v>
      </c>
      <c r="Q5" s="26">
        <v>38.4</v>
      </c>
      <c r="R5" s="26">
        <v>3.96</v>
      </c>
      <c r="S5" s="26">
        <v>2.92</v>
      </c>
      <c r="T5" s="26">
        <v>8.4700000000000006</v>
      </c>
      <c r="U5" s="33">
        <v>14.3</v>
      </c>
      <c r="V5" s="26">
        <v>2017.11</v>
      </c>
      <c r="W5" s="26">
        <v>290807</v>
      </c>
      <c r="X5" s="26">
        <v>1</v>
      </c>
      <c r="Y5" s="26">
        <v>103</v>
      </c>
      <c r="Z5" s="26">
        <v>35.299999999999997</v>
      </c>
      <c r="AA5" s="26">
        <v>3.56</v>
      </c>
      <c r="AB5" s="26">
        <v>2.92</v>
      </c>
      <c r="AC5" s="26">
        <v>8.64</v>
      </c>
      <c r="AD5" s="26">
        <v>7.1</v>
      </c>
      <c r="AF5" s="37">
        <v>1</v>
      </c>
      <c r="AG5">
        <v>2013.11</v>
      </c>
      <c r="AH5">
        <v>250516</v>
      </c>
      <c r="AI5">
        <v>2</v>
      </c>
      <c r="AJ5">
        <v>189</v>
      </c>
      <c r="AK5">
        <v>37.4</v>
      </c>
      <c r="AL5">
        <v>3.51</v>
      </c>
      <c r="AM5">
        <v>3.35</v>
      </c>
      <c r="AN5">
        <v>8.77</v>
      </c>
      <c r="AO5">
        <v>11.2</v>
      </c>
      <c r="AP5" s="24">
        <v>2017.11</v>
      </c>
      <c r="AQ5">
        <v>290806</v>
      </c>
      <c r="AR5">
        <v>2</v>
      </c>
      <c r="AS5">
        <v>104</v>
      </c>
      <c r="AT5">
        <v>34.4</v>
      </c>
      <c r="AU5">
        <v>4.16</v>
      </c>
      <c r="AV5">
        <v>3.12</v>
      </c>
      <c r="AW5">
        <v>8.68</v>
      </c>
      <c r="AX5">
        <v>4.5999999999999996</v>
      </c>
    </row>
    <row r="6" spans="1:50" ht="15" customHeight="1" x14ac:dyDescent="0.15">
      <c r="A6" s="151"/>
      <c r="B6" s="151"/>
      <c r="C6" s="111"/>
      <c r="D6" s="6" t="s">
        <v>74</v>
      </c>
      <c r="E6" s="162" t="s">
        <v>156</v>
      </c>
      <c r="F6" s="162" t="s">
        <v>157</v>
      </c>
      <c r="G6" s="118" t="s">
        <v>158</v>
      </c>
      <c r="H6" s="118" t="s">
        <v>158</v>
      </c>
      <c r="I6" s="118" t="s">
        <v>158</v>
      </c>
      <c r="J6" s="118" t="s">
        <v>158</v>
      </c>
      <c r="L6" s="37">
        <v>2</v>
      </c>
      <c r="M6">
        <v>2013.11</v>
      </c>
      <c r="N6" s="26">
        <v>250804</v>
      </c>
      <c r="O6" s="26">
        <v>1</v>
      </c>
      <c r="P6" s="26">
        <v>109</v>
      </c>
      <c r="Q6" s="26">
        <v>30.1</v>
      </c>
      <c r="R6" s="26">
        <v>3.34</v>
      </c>
      <c r="S6" s="26">
        <v>3.06</v>
      </c>
      <c r="T6" s="26">
        <v>8.3699999999999992</v>
      </c>
      <c r="U6" s="33">
        <v>11.2</v>
      </c>
      <c r="V6" s="26">
        <v>2017.11</v>
      </c>
      <c r="W6" s="26">
        <v>290802</v>
      </c>
      <c r="X6" s="26">
        <v>1</v>
      </c>
      <c r="Y6" s="26">
        <v>108</v>
      </c>
      <c r="Z6" s="26">
        <v>37.6</v>
      </c>
      <c r="AA6" s="26">
        <v>4.46</v>
      </c>
      <c r="AB6" s="26">
        <v>3</v>
      </c>
      <c r="AC6" s="26">
        <v>8.73</v>
      </c>
      <c r="AD6" s="26">
        <v>10.7</v>
      </c>
      <c r="AF6" s="37">
        <v>2</v>
      </c>
      <c r="AG6">
        <v>2013.11</v>
      </c>
      <c r="AH6">
        <v>250330</v>
      </c>
      <c r="AI6">
        <v>2</v>
      </c>
      <c r="AJ6">
        <v>236</v>
      </c>
      <c r="AK6">
        <v>29</v>
      </c>
      <c r="AL6">
        <v>4.84</v>
      </c>
      <c r="AM6">
        <v>3.66</v>
      </c>
      <c r="AN6">
        <v>9.1999999999999993</v>
      </c>
      <c r="AO6">
        <v>13.2</v>
      </c>
      <c r="AP6" s="24">
        <v>2017.11</v>
      </c>
      <c r="AQ6">
        <v>290727</v>
      </c>
      <c r="AR6">
        <v>2</v>
      </c>
      <c r="AS6">
        <v>114</v>
      </c>
      <c r="AT6">
        <v>50.4</v>
      </c>
      <c r="AU6">
        <v>3.29</v>
      </c>
      <c r="AV6">
        <v>2.6</v>
      </c>
      <c r="AW6">
        <v>8.0399999999999991</v>
      </c>
      <c r="AX6">
        <v>9.4</v>
      </c>
    </row>
    <row r="7" spans="1:50" ht="15" customHeight="1" x14ac:dyDescent="0.15">
      <c r="A7" s="113" t="s">
        <v>159</v>
      </c>
      <c r="B7" s="105" t="s">
        <v>8</v>
      </c>
      <c r="C7" s="127">
        <v>386</v>
      </c>
      <c r="D7" s="127">
        <v>1</v>
      </c>
      <c r="E7" s="127">
        <v>202</v>
      </c>
      <c r="F7" s="127">
        <v>31.4</v>
      </c>
      <c r="G7" s="127">
        <v>3.88</v>
      </c>
      <c r="H7" s="127">
        <v>3.32</v>
      </c>
      <c r="I7" s="127">
        <v>8.8699999999999992</v>
      </c>
      <c r="J7" s="127">
        <v>10.8</v>
      </c>
      <c r="L7" s="37">
        <v>3</v>
      </c>
      <c r="M7">
        <v>2013.11</v>
      </c>
      <c r="N7" s="26">
        <v>250802</v>
      </c>
      <c r="O7" s="26">
        <v>1</v>
      </c>
      <c r="P7" s="26">
        <v>111</v>
      </c>
      <c r="Q7" s="26">
        <v>27.4</v>
      </c>
      <c r="R7" s="26">
        <v>4.1399999999999997</v>
      </c>
      <c r="S7" s="26">
        <v>2.93</v>
      </c>
      <c r="T7" s="26">
        <v>8.5500000000000007</v>
      </c>
      <c r="U7" s="33">
        <v>13.7</v>
      </c>
      <c r="V7" s="26">
        <v>2017.11</v>
      </c>
      <c r="W7" s="26">
        <v>290801</v>
      </c>
      <c r="X7" s="26">
        <v>1</v>
      </c>
      <c r="Y7" s="26">
        <v>109</v>
      </c>
      <c r="Z7" s="26">
        <v>28.1</v>
      </c>
      <c r="AA7" s="26">
        <v>3.66</v>
      </c>
      <c r="AB7" s="26">
        <v>3.1</v>
      </c>
      <c r="AC7" s="26">
        <v>8.7100000000000009</v>
      </c>
      <c r="AD7" s="26">
        <v>7.6</v>
      </c>
      <c r="AF7" s="37">
        <v>3</v>
      </c>
      <c r="AG7">
        <v>2013.11</v>
      </c>
      <c r="AH7">
        <v>250314</v>
      </c>
      <c r="AI7">
        <v>2</v>
      </c>
      <c r="AJ7">
        <v>252</v>
      </c>
      <c r="AK7">
        <v>25.2</v>
      </c>
      <c r="AL7">
        <v>4.37</v>
      </c>
      <c r="AM7">
        <v>3.89</v>
      </c>
      <c r="AN7">
        <v>9.27</v>
      </c>
      <c r="AO7">
        <v>15</v>
      </c>
      <c r="AP7" s="24">
        <v>2017.11</v>
      </c>
      <c r="AQ7">
        <v>290722</v>
      </c>
      <c r="AR7">
        <v>2</v>
      </c>
      <c r="AS7">
        <v>119</v>
      </c>
      <c r="AT7">
        <v>45.8</v>
      </c>
      <c r="AU7">
        <v>2.79</v>
      </c>
      <c r="AV7">
        <v>2.85</v>
      </c>
      <c r="AW7">
        <v>8.2100000000000009</v>
      </c>
      <c r="AX7">
        <v>8.1</v>
      </c>
    </row>
    <row r="8" spans="1:50" x14ac:dyDescent="0.15">
      <c r="A8" s="107"/>
      <c r="B8" s="105" t="s">
        <v>9</v>
      </c>
      <c r="C8" s="127">
        <v>155</v>
      </c>
      <c r="D8" s="127">
        <v>1</v>
      </c>
      <c r="E8" s="127">
        <v>186</v>
      </c>
      <c r="F8" s="127">
        <v>32.700000000000003</v>
      </c>
      <c r="G8" s="127">
        <v>4.07</v>
      </c>
      <c r="H8" s="127">
        <v>3.2</v>
      </c>
      <c r="I8" s="127">
        <v>8.7100000000000009</v>
      </c>
      <c r="J8" s="127">
        <v>8.6</v>
      </c>
      <c r="L8" s="37">
        <v>4</v>
      </c>
      <c r="M8">
        <v>2013.11</v>
      </c>
      <c r="N8" s="26">
        <v>250724</v>
      </c>
      <c r="O8" s="26">
        <v>1</v>
      </c>
      <c r="P8" s="26">
        <v>120</v>
      </c>
      <c r="Q8" s="26">
        <v>40.9</v>
      </c>
      <c r="R8" s="26">
        <v>3.4</v>
      </c>
      <c r="S8" s="26">
        <v>2.78</v>
      </c>
      <c r="T8" s="26">
        <v>8.32</v>
      </c>
      <c r="U8" s="33">
        <v>14.1</v>
      </c>
      <c r="V8" s="26">
        <v>2017.11</v>
      </c>
      <c r="W8" s="26">
        <v>290619</v>
      </c>
      <c r="X8" s="26">
        <v>1</v>
      </c>
      <c r="Y8" s="26">
        <v>152</v>
      </c>
      <c r="Z8" s="26">
        <v>26</v>
      </c>
      <c r="AA8" s="26">
        <v>3.34</v>
      </c>
      <c r="AB8" s="26">
        <v>3.14</v>
      </c>
      <c r="AC8" s="26">
        <v>8.77</v>
      </c>
      <c r="AD8" s="26">
        <v>8.6999999999999993</v>
      </c>
      <c r="AF8" s="37">
        <v>4</v>
      </c>
      <c r="AG8">
        <v>2013.11</v>
      </c>
      <c r="AH8">
        <v>250302</v>
      </c>
      <c r="AI8">
        <v>2</v>
      </c>
      <c r="AJ8">
        <v>264</v>
      </c>
      <c r="AK8">
        <v>23.9</v>
      </c>
      <c r="AL8">
        <v>4.46</v>
      </c>
      <c r="AM8">
        <v>3.81</v>
      </c>
      <c r="AN8">
        <v>9.2100000000000009</v>
      </c>
      <c r="AO8">
        <v>13.9</v>
      </c>
      <c r="AP8" s="24">
        <v>2017.11</v>
      </c>
      <c r="AQ8">
        <v>290719</v>
      </c>
      <c r="AR8">
        <v>2</v>
      </c>
      <c r="AS8">
        <v>122</v>
      </c>
      <c r="AT8">
        <v>35.6</v>
      </c>
      <c r="AU8">
        <v>3.75</v>
      </c>
      <c r="AV8">
        <v>3.11</v>
      </c>
      <c r="AW8">
        <v>8.2799999999999994</v>
      </c>
      <c r="AX8">
        <v>10.1</v>
      </c>
    </row>
    <row r="9" spans="1:50" ht="15" customHeight="1" x14ac:dyDescent="0.15">
      <c r="A9" s="117"/>
      <c r="B9" s="105" t="s">
        <v>160</v>
      </c>
      <c r="C9" s="103" t="s">
        <v>74</v>
      </c>
      <c r="D9" s="127" t="s">
        <v>74</v>
      </c>
      <c r="E9" s="125" t="s">
        <v>161</v>
      </c>
      <c r="F9" s="127">
        <v>0.04</v>
      </c>
      <c r="G9" s="125" t="s">
        <v>161</v>
      </c>
      <c r="H9" s="125" t="s">
        <v>161</v>
      </c>
      <c r="I9" s="125" t="s">
        <v>161</v>
      </c>
      <c r="J9" s="125" t="s">
        <v>161</v>
      </c>
      <c r="L9" s="37">
        <v>5</v>
      </c>
      <c r="M9">
        <v>2013.11</v>
      </c>
      <c r="N9" s="26">
        <v>250712</v>
      </c>
      <c r="O9" s="26">
        <v>1</v>
      </c>
      <c r="P9" s="26">
        <v>132</v>
      </c>
      <c r="Q9" s="26">
        <v>35</v>
      </c>
      <c r="R9" s="26">
        <v>2.81</v>
      </c>
      <c r="S9" s="26">
        <v>2.99</v>
      </c>
      <c r="T9" s="26">
        <v>8.4</v>
      </c>
      <c r="U9" s="33">
        <v>16.3</v>
      </c>
      <c r="V9" s="26">
        <v>2017.11</v>
      </c>
      <c r="W9" s="26">
        <v>290511</v>
      </c>
      <c r="X9" s="26">
        <v>1</v>
      </c>
      <c r="Y9" s="26">
        <v>191</v>
      </c>
      <c r="Z9" s="26">
        <v>28.2</v>
      </c>
      <c r="AA9" s="26">
        <v>4.0599999999999996</v>
      </c>
      <c r="AB9" s="26">
        <v>3.19</v>
      </c>
      <c r="AC9" s="26">
        <v>8.26</v>
      </c>
      <c r="AD9" s="26">
        <v>8.1999999999999993</v>
      </c>
      <c r="AF9" s="37">
        <v>5</v>
      </c>
      <c r="AG9">
        <v>2013.12</v>
      </c>
      <c r="AH9">
        <v>250831</v>
      </c>
      <c r="AI9">
        <v>2</v>
      </c>
      <c r="AJ9">
        <v>111</v>
      </c>
      <c r="AK9">
        <v>22.6</v>
      </c>
      <c r="AL9">
        <v>3.46</v>
      </c>
      <c r="AM9">
        <v>3.43</v>
      </c>
      <c r="AN9">
        <v>8.89</v>
      </c>
      <c r="AO9">
        <v>11.5</v>
      </c>
      <c r="AP9" s="24">
        <v>2017.11</v>
      </c>
      <c r="AQ9">
        <v>290709</v>
      </c>
      <c r="AR9">
        <v>2</v>
      </c>
      <c r="AS9">
        <v>132</v>
      </c>
      <c r="AT9">
        <v>37.200000000000003</v>
      </c>
      <c r="AU9">
        <v>4.38</v>
      </c>
      <c r="AV9">
        <v>3.06</v>
      </c>
      <c r="AW9">
        <v>8.39</v>
      </c>
      <c r="AX9">
        <v>9</v>
      </c>
    </row>
    <row r="10" spans="1:50" x14ac:dyDescent="0.15">
      <c r="A10" s="108" t="s">
        <v>162</v>
      </c>
      <c r="B10" s="157" t="s">
        <v>8</v>
      </c>
      <c r="C10" s="109">
        <v>118</v>
      </c>
      <c r="D10" s="131">
        <v>2.7</v>
      </c>
      <c r="E10" s="145">
        <v>178</v>
      </c>
      <c r="F10" s="131">
        <v>33.299999999999997</v>
      </c>
      <c r="G10" s="145">
        <v>3.9</v>
      </c>
      <c r="H10" s="145">
        <v>3.32</v>
      </c>
      <c r="I10" s="145">
        <v>8.77</v>
      </c>
      <c r="J10" s="145">
        <v>11.6</v>
      </c>
      <c r="L10" s="37">
        <v>6</v>
      </c>
      <c r="M10">
        <v>2013.11</v>
      </c>
      <c r="N10" s="26">
        <v>250712</v>
      </c>
      <c r="O10" s="26">
        <v>1</v>
      </c>
      <c r="P10" s="26">
        <v>132</v>
      </c>
      <c r="Q10" s="26">
        <v>38.4</v>
      </c>
      <c r="R10" s="26">
        <v>3.41</v>
      </c>
      <c r="S10" s="26">
        <v>3.11</v>
      </c>
      <c r="T10" s="26">
        <v>8.57</v>
      </c>
      <c r="U10" s="33">
        <v>13.5</v>
      </c>
      <c r="V10" s="26">
        <v>2017.11</v>
      </c>
      <c r="W10" s="26">
        <v>290404</v>
      </c>
      <c r="X10" s="26">
        <v>1</v>
      </c>
      <c r="Y10" s="26">
        <v>228</v>
      </c>
      <c r="Z10" s="26">
        <v>36.200000000000003</v>
      </c>
      <c r="AA10" s="26">
        <v>3.44</v>
      </c>
      <c r="AB10" s="26">
        <v>3.2</v>
      </c>
      <c r="AC10" s="26">
        <v>8.61</v>
      </c>
      <c r="AD10" s="26">
        <v>8.4</v>
      </c>
      <c r="AF10" s="37">
        <v>6</v>
      </c>
      <c r="AG10">
        <v>2013.12</v>
      </c>
      <c r="AH10">
        <v>250516</v>
      </c>
      <c r="AI10">
        <v>2</v>
      </c>
      <c r="AJ10">
        <v>218</v>
      </c>
      <c r="AK10">
        <v>38.5</v>
      </c>
      <c r="AL10">
        <v>3.97</v>
      </c>
      <c r="AM10">
        <v>3.58</v>
      </c>
      <c r="AN10">
        <v>9.1</v>
      </c>
      <c r="AO10">
        <v>12</v>
      </c>
      <c r="AP10" s="24">
        <v>2017.11</v>
      </c>
      <c r="AQ10">
        <v>290705</v>
      </c>
      <c r="AR10">
        <v>2</v>
      </c>
      <c r="AS10">
        <v>136</v>
      </c>
      <c r="AT10">
        <v>35.1</v>
      </c>
      <c r="AU10">
        <v>4.32</v>
      </c>
      <c r="AV10">
        <v>3.12</v>
      </c>
      <c r="AW10">
        <v>8.4600000000000009</v>
      </c>
      <c r="AX10">
        <v>9.1999999999999993</v>
      </c>
    </row>
    <row r="11" spans="1:50" x14ac:dyDescent="0.15">
      <c r="A11" s="113"/>
      <c r="B11" s="163" t="s">
        <v>9</v>
      </c>
      <c r="C11" s="119">
        <v>279</v>
      </c>
      <c r="D11" s="145">
        <v>2.5</v>
      </c>
      <c r="E11" s="145">
        <v>179</v>
      </c>
      <c r="F11" s="145">
        <v>34.9</v>
      </c>
      <c r="G11" s="145">
        <v>4.13</v>
      </c>
      <c r="H11" s="145">
        <v>3.29</v>
      </c>
      <c r="I11" s="145">
        <v>8.66</v>
      </c>
      <c r="J11" s="145">
        <v>8.6999999999999993</v>
      </c>
      <c r="L11" s="37">
        <v>7</v>
      </c>
      <c r="M11">
        <v>2013.11</v>
      </c>
      <c r="N11" s="26">
        <v>250618</v>
      </c>
      <c r="O11" s="26">
        <v>1</v>
      </c>
      <c r="P11" s="26">
        <v>156</v>
      </c>
      <c r="Q11" s="26">
        <v>18.600000000000001</v>
      </c>
      <c r="R11" s="26">
        <v>4.1900000000000004</v>
      </c>
      <c r="S11" s="26">
        <v>3.39</v>
      </c>
      <c r="T11" s="26">
        <v>8.9499999999999993</v>
      </c>
      <c r="U11" s="33">
        <v>13.4</v>
      </c>
      <c r="V11" s="26">
        <v>2017.12</v>
      </c>
      <c r="W11" s="26">
        <v>290907</v>
      </c>
      <c r="X11" s="26">
        <v>1</v>
      </c>
      <c r="Y11" s="26">
        <v>101</v>
      </c>
      <c r="Z11" s="26">
        <v>32.700000000000003</v>
      </c>
      <c r="AA11" s="26">
        <v>4.37</v>
      </c>
      <c r="AB11" s="26">
        <v>3.24</v>
      </c>
      <c r="AC11" s="26">
        <v>8.7799999999999994</v>
      </c>
      <c r="AD11" s="26">
        <v>6.5</v>
      </c>
      <c r="AF11" s="37">
        <v>7</v>
      </c>
      <c r="AG11">
        <v>2013.12</v>
      </c>
      <c r="AH11">
        <v>250330</v>
      </c>
      <c r="AI11">
        <v>2</v>
      </c>
      <c r="AJ11">
        <v>265</v>
      </c>
      <c r="AK11">
        <v>30.9</v>
      </c>
      <c r="AL11">
        <v>5.31</v>
      </c>
      <c r="AM11">
        <v>3.79</v>
      </c>
      <c r="AN11">
        <v>9.41</v>
      </c>
      <c r="AO11">
        <v>11.8</v>
      </c>
      <c r="AP11" s="24">
        <v>2017.11</v>
      </c>
      <c r="AQ11">
        <v>290606</v>
      </c>
      <c r="AR11">
        <v>2</v>
      </c>
      <c r="AS11">
        <v>165</v>
      </c>
      <c r="AT11">
        <v>34.5</v>
      </c>
      <c r="AU11">
        <v>3.38</v>
      </c>
      <c r="AV11">
        <v>3.45</v>
      </c>
      <c r="AW11">
        <v>8.99</v>
      </c>
      <c r="AX11">
        <v>8.6</v>
      </c>
    </row>
    <row r="12" spans="1:50" x14ac:dyDescent="0.15">
      <c r="A12" s="111"/>
      <c r="B12" s="164" t="s">
        <v>160</v>
      </c>
      <c r="C12" s="118" t="s">
        <v>74</v>
      </c>
      <c r="D12" s="146" t="s">
        <v>161</v>
      </c>
      <c r="E12" s="146">
        <v>0.86</v>
      </c>
      <c r="F12" s="146">
        <v>0.08</v>
      </c>
      <c r="G12" s="146" t="s">
        <v>161</v>
      </c>
      <c r="H12" s="146">
        <v>0.61</v>
      </c>
      <c r="I12" s="146" t="s">
        <v>161</v>
      </c>
      <c r="J12" s="146" t="s">
        <v>161</v>
      </c>
      <c r="L12" s="37">
        <v>8</v>
      </c>
      <c r="M12">
        <v>2013.11</v>
      </c>
      <c r="N12" s="26">
        <v>250617</v>
      </c>
      <c r="O12" s="26">
        <v>1</v>
      </c>
      <c r="P12" s="26">
        <v>157</v>
      </c>
      <c r="Q12" s="26">
        <v>33.1</v>
      </c>
      <c r="R12" s="26">
        <v>4.03</v>
      </c>
      <c r="S12" s="26">
        <v>3.56</v>
      </c>
      <c r="T12" s="26">
        <v>9.0500000000000007</v>
      </c>
      <c r="U12" s="33">
        <v>13.3</v>
      </c>
      <c r="V12" s="26">
        <v>2017.12</v>
      </c>
      <c r="W12" s="26">
        <v>290904</v>
      </c>
      <c r="X12" s="26">
        <v>1</v>
      </c>
      <c r="Y12" s="26">
        <v>104</v>
      </c>
      <c r="Z12" s="26">
        <v>42.8</v>
      </c>
      <c r="AA12" s="26">
        <v>3.84</v>
      </c>
      <c r="AB12" s="26">
        <v>2.95</v>
      </c>
      <c r="AC12" s="26">
        <v>8.5</v>
      </c>
      <c r="AD12" s="26">
        <v>7.2</v>
      </c>
      <c r="AF12" s="37">
        <v>8</v>
      </c>
      <c r="AG12">
        <v>2013.12</v>
      </c>
      <c r="AH12">
        <v>250314</v>
      </c>
      <c r="AI12">
        <v>2</v>
      </c>
      <c r="AJ12">
        <v>281</v>
      </c>
      <c r="AK12">
        <v>23</v>
      </c>
      <c r="AL12">
        <v>5.37</v>
      </c>
      <c r="AM12">
        <v>4.28</v>
      </c>
      <c r="AN12">
        <v>9.5399999999999991</v>
      </c>
      <c r="AO12">
        <v>9.6</v>
      </c>
      <c r="AP12" s="24">
        <v>2017.11</v>
      </c>
      <c r="AQ12">
        <v>290426</v>
      </c>
      <c r="AR12">
        <v>2</v>
      </c>
      <c r="AS12">
        <v>206</v>
      </c>
      <c r="AT12">
        <v>36.700000000000003</v>
      </c>
      <c r="AU12">
        <v>5.18</v>
      </c>
      <c r="AV12">
        <v>3.78</v>
      </c>
      <c r="AW12">
        <v>9.42</v>
      </c>
      <c r="AX12">
        <v>11.7</v>
      </c>
    </row>
    <row r="13" spans="1:50" x14ac:dyDescent="0.15">
      <c r="A13" s="160" t="s">
        <v>163</v>
      </c>
      <c r="B13" s="160"/>
      <c r="C13" s="160"/>
      <c r="D13" s="160"/>
      <c r="E13" s="160"/>
      <c r="F13" s="160"/>
      <c r="G13" s="160"/>
      <c r="H13" s="160"/>
      <c r="I13" s="160"/>
      <c r="J13" s="160"/>
      <c r="L13" s="37">
        <v>9</v>
      </c>
      <c r="M13">
        <v>2013.11</v>
      </c>
      <c r="N13" s="26">
        <v>250607</v>
      </c>
      <c r="O13" s="26">
        <v>1</v>
      </c>
      <c r="P13" s="26">
        <v>167</v>
      </c>
      <c r="Q13" s="26">
        <v>43.6</v>
      </c>
      <c r="R13" s="26">
        <v>3.19</v>
      </c>
      <c r="S13" s="26">
        <v>2.97</v>
      </c>
      <c r="T13" s="26">
        <v>8.4700000000000006</v>
      </c>
      <c r="U13" s="33">
        <v>13.8</v>
      </c>
      <c r="V13" s="26">
        <v>2017.12</v>
      </c>
      <c r="W13" s="26">
        <v>290902</v>
      </c>
      <c r="X13" s="26">
        <v>1</v>
      </c>
      <c r="Y13" s="26">
        <v>106</v>
      </c>
      <c r="Z13" s="26">
        <v>39.9</v>
      </c>
      <c r="AA13" s="26">
        <v>3.53</v>
      </c>
      <c r="AB13" s="26">
        <v>3.14</v>
      </c>
      <c r="AC13" s="26">
        <v>8.24</v>
      </c>
      <c r="AD13" s="26">
        <v>7.8</v>
      </c>
      <c r="AF13" s="37">
        <v>9</v>
      </c>
      <c r="AG13">
        <v>2014.01</v>
      </c>
      <c r="AH13">
        <v>250917</v>
      </c>
      <c r="AI13">
        <v>2</v>
      </c>
      <c r="AJ13">
        <v>128</v>
      </c>
      <c r="AK13">
        <v>33.200000000000003</v>
      </c>
      <c r="AL13">
        <v>2.76</v>
      </c>
      <c r="AM13">
        <v>2.88</v>
      </c>
      <c r="AN13">
        <v>8.35</v>
      </c>
      <c r="AO13" s="17">
        <v>19.3</v>
      </c>
      <c r="AP13" s="24">
        <v>2017.11</v>
      </c>
      <c r="AQ13">
        <v>290426</v>
      </c>
      <c r="AR13">
        <v>2</v>
      </c>
      <c r="AS13">
        <v>206</v>
      </c>
      <c r="AT13">
        <v>28</v>
      </c>
      <c r="AU13">
        <v>4.3099999999999996</v>
      </c>
      <c r="AV13">
        <v>3.68</v>
      </c>
      <c r="AW13">
        <v>9.2100000000000009</v>
      </c>
      <c r="AX13">
        <v>5.7</v>
      </c>
    </row>
    <row r="14" spans="1:50" x14ac:dyDescent="0.15">
      <c r="A14" s="88"/>
      <c r="B14" s="88"/>
      <c r="C14" s="88"/>
      <c r="D14" s="88"/>
      <c r="E14" s="88"/>
      <c r="F14" s="88"/>
      <c r="G14" s="88"/>
      <c r="H14" s="88"/>
      <c r="I14" s="88"/>
      <c r="J14" s="88"/>
      <c r="L14" s="37">
        <v>10</v>
      </c>
      <c r="M14">
        <v>2013.11</v>
      </c>
      <c r="N14" s="26">
        <v>250521</v>
      </c>
      <c r="O14" s="26">
        <v>1</v>
      </c>
      <c r="P14" s="26">
        <v>184</v>
      </c>
      <c r="Q14" s="26">
        <v>32.200000000000003</v>
      </c>
      <c r="R14" s="26">
        <v>3.65</v>
      </c>
      <c r="S14" s="26">
        <v>3.48</v>
      </c>
      <c r="T14" s="26">
        <v>8.92</v>
      </c>
      <c r="U14" s="33">
        <v>13.1</v>
      </c>
      <c r="V14" s="26">
        <v>2017.12</v>
      </c>
      <c r="W14" s="26">
        <v>290817</v>
      </c>
      <c r="X14" s="26">
        <v>1</v>
      </c>
      <c r="Y14" s="26">
        <v>122</v>
      </c>
      <c r="Z14" s="26">
        <v>33.700000000000003</v>
      </c>
      <c r="AA14" s="26">
        <v>3.75</v>
      </c>
      <c r="AB14" s="26">
        <v>3.15</v>
      </c>
      <c r="AC14" s="26">
        <v>8.5399999999999991</v>
      </c>
      <c r="AD14" s="26">
        <v>7.3</v>
      </c>
      <c r="AF14" s="37">
        <v>10</v>
      </c>
      <c r="AG14">
        <v>2014.01</v>
      </c>
      <c r="AH14">
        <v>250917</v>
      </c>
      <c r="AI14">
        <v>2</v>
      </c>
      <c r="AJ14">
        <v>128</v>
      </c>
      <c r="AK14">
        <v>39.5</v>
      </c>
      <c r="AL14">
        <v>4.57</v>
      </c>
      <c r="AM14">
        <v>3.28</v>
      </c>
      <c r="AN14">
        <v>8.75</v>
      </c>
      <c r="AO14" s="17">
        <v>10.4</v>
      </c>
      <c r="AP14" s="24">
        <v>2017.11</v>
      </c>
      <c r="AQ14">
        <v>290425</v>
      </c>
      <c r="AR14">
        <v>2</v>
      </c>
      <c r="AS14">
        <v>207</v>
      </c>
      <c r="AT14">
        <v>35</v>
      </c>
      <c r="AU14">
        <v>3.25</v>
      </c>
      <c r="AV14">
        <v>3.16</v>
      </c>
      <c r="AW14">
        <v>8.6</v>
      </c>
      <c r="AX14">
        <v>7.8</v>
      </c>
    </row>
    <row r="15" spans="1:50" x14ac:dyDescent="0.15">
      <c r="L15" s="37">
        <v>11</v>
      </c>
      <c r="M15">
        <v>2013.11</v>
      </c>
      <c r="N15" s="26">
        <v>250520</v>
      </c>
      <c r="O15" s="26">
        <v>1</v>
      </c>
      <c r="P15" s="26">
        <v>185</v>
      </c>
      <c r="Q15" s="26">
        <v>32.4</v>
      </c>
      <c r="R15" s="26">
        <v>4.26</v>
      </c>
      <c r="S15" s="26">
        <v>3.64</v>
      </c>
      <c r="T15" s="26">
        <v>9.16</v>
      </c>
      <c r="U15" s="33">
        <v>12.5</v>
      </c>
      <c r="V15" s="26">
        <v>2017.12</v>
      </c>
      <c r="W15" s="26">
        <v>290815</v>
      </c>
      <c r="X15" s="26">
        <v>1</v>
      </c>
      <c r="Y15" s="26">
        <v>124</v>
      </c>
      <c r="Z15" s="26">
        <v>33</v>
      </c>
      <c r="AA15" s="26">
        <v>4.26</v>
      </c>
      <c r="AB15" s="26">
        <v>2.98</v>
      </c>
      <c r="AC15" s="26">
        <v>8.56</v>
      </c>
      <c r="AD15" s="26">
        <v>6</v>
      </c>
      <c r="AF15" s="37">
        <v>11</v>
      </c>
      <c r="AG15">
        <v>2014.01</v>
      </c>
      <c r="AH15">
        <v>250831</v>
      </c>
      <c r="AI15">
        <v>2</v>
      </c>
      <c r="AJ15">
        <v>145</v>
      </c>
      <c r="AK15">
        <v>23.3</v>
      </c>
      <c r="AL15">
        <v>3.58</v>
      </c>
      <c r="AM15">
        <v>3.22</v>
      </c>
      <c r="AN15">
        <v>8.8000000000000007</v>
      </c>
      <c r="AO15" s="17">
        <v>10.9</v>
      </c>
      <c r="AP15" s="24">
        <v>2017.11</v>
      </c>
      <c r="AQ15">
        <v>290401</v>
      </c>
      <c r="AR15">
        <v>2</v>
      </c>
      <c r="AS15">
        <v>231</v>
      </c>
      <c r="AT15">
        <v>32.4</v>
      </c>
      <c r="AU15">
        <v>3.65</v>
      </c>
      <c r="AV15">
        <v>3.49</v>
      </c>
      <c r="AW15">
        <v>8.77</v>
      </c>
      <c r="AX15">
        <v>8</v>
      </c>
    </row>
    <row r="16" spans="1:50" x14ac:dyDescent="0.15">
      <c r="L16" s="37">
        <v>12</v>
      </c>
      <c r="M16">
        <v>2013.11</v>
      </c>
      <c r="N16" s="26">
        <v>250514</v>
      </c>
      <c r="O16" s="26">
        <v>1</v>
      </c>
      <c r="P16" s="26">
        <v>191</v>
      </c>
      <c r="Q16" s="26">
        <v>23.6</v>
      </c>
      <c r="R16" s="26">
        <v>3.49</v>
      </c>
      <c r="S16" s="26">
        <v>3</v>
      </c>
      <c r="T16" s="26">
        <v>8.4499999999999993</v>
      </c>
      <c r="U16" s="33">
        <v>13.8</v>
      </c>
      <c r="V16" s="26">
        <v>2017.12</v>
      </c>
      <c r="W16" s="26">
        <v>290812</v>
      </c>
      <c r="X16" s="26">
        <v>1</v>
      </c>
      <c r="Y16" s="26">
        <v>127</v>
      </c>
      <c r="Z16" s="26">
        <v>36.200000000000003</v>
      </c>
      <c r="AA16" s="26">
        <v>3.9</v>
      </c>
      <c r="AB16" s="26">
        <v>2.85</v>
      </c>
      <c r="AC16" s="26">
        <v>8.41</v>
      </c>
      <c r="AD16" s="26">
        <v>8.6999999999999993</v>
      </c>
      <c r="AF16" s="37">
        <v>12</v>
      </c>
      <c r="AG16">
        <v>2014.01</v>
      </c>
      <c r="AH16">
        <v>250814</v>
      </c>
      <c r="AI16">
        <v>2</v>
      </c>
      <c r="AJ16">
        <v>162</v>
      </c>
      <c r="AK16">
        <v>39.799999999999997</v>
      </c>
      <c r="AL16" s="17">
        <v>3.87</v>
      </c>
      <c r="AM16" s="17">
        <v>3.17</v>
      </c>
      <c r="AN16">
        <v>8.6</v>
      </c>
      <c r="AO16" s="17">
        <v>12.6</v>
      </c>
      <c r="AP16" s="24">
        <v>2017.11</v>
      </c>
      <c r="AQ16">
        <v>290401</v>
      </c>
      <c r="AR16">
        <v>2</v>
      </c>
      <c r="AS16">
        <v>231</v>
      </c>
      <c r="AT16">
        <v>33.299999999999997</v>
      </c>
      <c r="AU16">
        <v>3.69</v>
      </c>
      <c r="AV16">
        <v>3.59</v>
      </c>
      <c r="AW16">
        <v>8.92</v>
      </c>
      <c r="AX16">
        <v>7.7</v>
      </c>
    </row>
    <row r="17" spans="3:50" x14ac:dyDescent="0.15">
      <c r="L17" s="37">
        <v>13</v>
      </c>
      <c r="M17">
        <v>2013.11</v>
      </c>
      <c r="N17" s="26">
        <v>250504</v>
      </c>
      <c r="O17" s="26">
        <v>1</v>
      </c>
      <c r="P17" s="26">
        <v>201</v>
      </c>
      <c r="Q17" s="26">
        <v>37</v>
      </c>
      <c r="R17" s="26">
        <v>3.72</v>
      </c>
      <c r="S17" s="26">
        <v>3.49</v>
      </c>
      <c r="T17" s="26">
        <v>8.98</v>
      </c>
      <c r="U17" s="33">
        <v>15.4</v>
      </c>
      <c r="V17" s="26">
        <v>2017.12</v>
      </c>
      <c r="W17" s="26">
        <v>290811</v>
      </c>
      <c r="X17" s="26">
        <v>1</v>
      </c>
      <c r="Y17" s="26">
        <v>128</v>
      </c>
      <c r="Z17" s="26">
        <v>34.9</v>
      </c>
      <c r="AA17" s="26">
        <v>3.84</v>
      </c>
      <c r="AB17" s="26">
        <v>3.11</v>
      </c>
      <c r="AC17" s="26">
        <v>8.8000000000000007</v>
      </c>
      <c r="AD17" s="26">
        <v>7.1</v>
      </c>
      <c r="AF17" s="37">
        <v>13</v>
      </c>
      <c r="AG17">
        <v>2014.01</v>
      </c>
      <c r="AH17">
        <v>250330</v>
      </c>
      <c r="AI17">
        <v>2</v>
      </c>
      <c r="AJ17">
        <v>299</v>
      </c>
      <c r="AK17">
        <v>29.3</v>
      </c>
      <c r="AL17">
        <v>5.16</v>
      </c>
      <c r="AM17">
        <v>3.75</v>
      </c>
      <c r="AN17">
        <v>9.3800000000000008</v>
      </c>
      <c r="AO17" s="17">
        <v>12.3</v>
      </c>
      <c r="AP17" s="24">
        <v>2017.11</v>
      </c>
      <c r="AQ17">
        <v>290330</v>
      </c>
      <c r="AR17">
        <v>2</v>
      </c>
      <c r="AS17">
        <v>233</v>
      </c>
      <c r="AT17">
        <v>23.7</v>
      </c>
      <c r="AU17">
        <v>4.4800000000000004</v>
      </c>
      <c r="AV17">
        <v>3.41</v>
      </c>
      <c r="AW17">
        <v>8.61</v>
      </c>
      <c r="AX17">
        <v>8.1</v>
      </c>
    </row>
    <row r="18" spans="3:50" x14ac:dyDescent="0.15">
      <c r="L18" s="37">
        <v>14</v>
      </c>
      <c r="M18">
        <v>2013.11</v>
      </c>
      <c r="N18" s="26">
        <v>250501</v>
      </c>
      <c r="O18" s="26">
        <v>1</v>
      </c>
      <c r="P18" s="26">
        <v>204</v>
      </c>
      <c r="Q18" s="26">
        <v>32.299999999999997</v>
      </c>
      <c r="R18" s="26">
        <v>3.99</v>
      </c>
      <c r="S18" s="26">
        <v>3.49</v>
      </c>
      <c r="T18" s="26">
        <v>9.19</v>
      </c>
      <c r="U18" s="33">
        <v>11.6</v>
      </c>
      <c r="V18" s="26">
        <v>2017.12</v>
      </c>
      <c r="W18" s="26">
        <v>290807</v>
      </c>
      <c r="X18" s="26">
        <v>1</v>
      </c>
      <c r="Y18" s="26">
        <v>132</v>
      </c>
      <c r="Z18" s="26">
        <v>34.9</v>
      </c>
      <c r="AA18" s="26">
        <v>3.97</v>
      </c>
      <c r="AB18" s="26">
        <v>3.05</v>
      </c>
      <c r="AC18" s="26">
        <v>8.77</v>
      </c>
      <c r="AD18" s="26">
        <v>6.3</v>
      </c>
      <c r="AF18" s="37">
        <v>14</v>
      </c>
      <c r="AG18">
        <v>2014.02</v>
      </c>
      <c r="AH18">
        <v>251028</v>
      </c>
      <c r="AI18">
        <v>2</v>
      </c>
      <c r="AJ18">
        <v>118</v>
      </c>
      <c r="AK18">
        <v>40.1</v>
      </c>
      <c r="AL18">
        <v>3.89</v>
      </c>
      <c r="AM18">
        <v>3.53</v>
      </c>
      <c r="AN18">
        <v>9.02</v>
      </c>
      <c r="AO18">
        <v>11.3</v>
      </c>
      <c r="AP18" s="24">
        <v>2017.11</v>
      </c>
      <c r="AQ18">
        <v>290330</v>
      </c>
      <c r="AR18">
        <v>2</v>
      </c>
      <c r="AS18">
        <v>233</v>
      </c>
      <c r="AT18">
        <v>35.9</v>
      </c>
      <c r="AU18">
        <v>3.71</v>
      </c>
      <c r="AV18">
        <v>3.55</v>
      </c>
      <c r="AW18">
        <v>8.8699999999999992</v>
      </c>
      <c r="AX18">
        <v>8.1</v>
      </c>
    </row>
    <row r="19" spans="3:50" x14ac:dyDescent="0.15">
      <c r="C19" s="7"/>
      <c r="D19" s="7"/>
      <c r="E19" s="7"/>
      <c r="F19" s="9"/>
      <c r="G19" s="9"/>
      <c r="H19" s="9"/>
      <c r="I19" s="9"/>
      <c r="L19" s="37">
        <v>15</v>
      </c>
      <c r="M19">
        <v>2013.11</v>
      </c>
      <c r="N19" s="26">
        <v>250423</v>
      </c>
      <c r="O19" s="26">
        <v>1</v>
      </c>
      <c r="P19" s="26">
        <v>212</v>
      </c>
      <c r="Q19" s="26">
        <v>37.5</v>
      </c>
      <c r="R19" s="26">
        <v>3.67</v>
      </c>
      <c r="S19" s="26">
        <v>3.24</v>
      </c>
      <c r="T19" s="26">
        <v>8.64</v>
      </c>
      <c r="U19" s="33">
        <v>11.6</v>
      </c>
      <c r="V19" s="26">
        <v>2017.12</v>
      </c>
      <c r="W19" s="26">
        <v>290802</v>
      </c>
      <c r="X19" s="26">
        <v>1</v>
      </c>
      <c r="Y19" s="26">
        <v>137</v>
      </c>
      <c r="Z19" s="26">
        <v>38.6</v>
      </c>
      <c r="AA19" s="26">
        <v>4.6399999999999997</v>
      </c>
      <c r="AB19" s="26">
        <v>3.1</v>
      </c>
      <c r="AC19" s="26">
        <v>8.7200000000000006</v>
      </c>
      <c r="AD19" s="26">
        <v>6.3</v>
      </c>
      <c r="AF19" s="37">
        <v>15</v>
      </c>
      <c r="AG19">
        <v>2014.02</v>
      </c>
      <c r="AH19">
        <v>251020</v>
      </c>
      <c r="AI19">
        <v>2</v>
      </c>
      <c r="AJ19">
        <v>126</v>
      </c>
      <c r="AK19">
        <v>55.9</v>
      </c>
      <c r="AL19">
        <v>3.55</v>
      </c>
      <c r="AM19">
        <v>3.34</v>
      </c>
      <c r="AN19">
        <v>8.9</v>
      </c>
      <c r="AO19">
        <v>12.9</v>
      </c>
      <c r="AP19" s="24">
        <v>2017.11</v>
      </c>
      <c r="AQ19">
        <v>290320</v>
      </c>
      <c r="AR19">
        <v>2</v>
      </c>
      <c r="AS19">
        <v>243</v>
      </c>
      <c r="AT19">
        <v>34</v>
      </c>
      <c r="AU19">
        <v>4.34</v>
      </c>
      <c r="AV19">
        <v>3.27</v>
      </c>
      <c r="AW19">
        <v>8.76</v>
      </c>
      <c r="AX19">
        <v>8.6999999999999993</v>
      </c>
    </row>
    <row r="20" spans="3:50" x14ac:dyDescent="0.15">
      <c r="C20" s="7"/>
      <c r="D20" s="7"/>
      <c r="E20" s="7"/>
      <c r="F20" s="9"/>
      <c r="G20" s="9"/>
      <c r="H20" s="9"/>
      <c r="I20" s="9"/>
      <c r="L20" s="37">
        <v>16</v>
      </c>
      <c r="M20">
        <v>2013.11</v>
      </c>
      <c r="N20" s="26">
        <v>250412</v>
      </c>
      <c r="O20" s="26">
        <v>1</v>
      </c>
      <c r="P20" s="26">
        <v>223</v>
      </c>
      <c r="Q20" s="26">
        <v>19.2</v>
      </c>
      <c r="R20" s="26">
        <v>4.99</v>
      </c>
      <c r="S20" s="26">
        <v>3.54</v>
      </c>
      <c r="T20" s="26">
        <v>8.83</v>
      </c>
      <c r="U20" s="33">
        <v>18.100000000000001</v>
      </c>
      <c r="V20" s="26">
        <v>2017.12</v>
      </c>
      <c r="W20" s="26">
        <v>290801</v>
      </c>
      <c r="X20" s="26">
        <v>1</v>
      </c>
      <c r="Y20" s="26">
        <v>138</v>
      </c>
      <c r="Z20" s="26">
        <v>26.9</v>
      </c>
      <c r="AA20" s="26">
        <v>3.49</v>
      </c>
      <c r="AB20" s="26">
        <v>3.09</v>
      </c>
      <c r="AC20" s="26">
        <v>8.57</v>
      </c>
      <c r="AD20" s="26">
        <v>11.7</v>
      </c>
      <c r="AF20" s="37">
        <v>16</v>
      </c>
      <c r="AG20">
        <v>2014.02</v>
      </c>
      <c r="AH20">
        <v>250917</v>
      </c>
      <c r="AI20">
        <v>2</v>
      </c>
      <c r="AJ20">
        <v>159</v>
      </c>
      <c r="AK20">
        <v>53.5</v>
      </c>
      <c r="AL20">
        <v>3.25</v>
      </c>
      <c r="AM20">
        <v>3.02</v>
      </c>
      <c r="AN20">
        <v>8.49</v>
      </c>
      <c r="AO20">
        <v>14.9</v>
      </c>
      <c r="AP20" s="24">
        <v>2017.11</v>
      </c>
      <c r="AQ20">
        <v>290320</v>
      </c>
      <c r="AR20">
        <v>2</v>
      </c>
      <c r="AS20">
        <v>243</v>
      </c>
      <c r="AT20">
        <v>32.799999999999997</v>
      </c>
      <c r="AU20">
        <v>3.24</v>
      </c>
      <c r="AV20">
        <v>3.37</v>
      </c>
      <c r="AW20">
        <v>8.77</v>
      </c>
      <c r="AX20">
        <v>7.2</v>
      </c>
    </row>
    <row r="21" spans="3:50" x14ac:dyDescent="0.15">
      <c r="D21" s="8"/>
      <c r="E21" s="7"/>
      <c r="F21" s="9"/>
      <c r="G21" s="9"/>
      <c r="H21" s="9"/>
      <c r="I21" s="9"/>
      <c r="L21" s="37">
        <v>17</v>
      </c>
      <c r="M21">
        <v>2013.11</v>
      </c>
      <c r="N21" s="26">
        <v>250406</v>
      </c>
      <c r="O21" s="26">
        <v>1</v>
      </c>
      <c r="P21" s="26">
        <v>229</v>
      </c>
      <c r="Q21" s="26">
        <v>34</v>
      </c>
      <c r="R21" s="26">
        <v>3.45</v>
      </c>
      <c r="S21" s="26">
        <v>3.18</v>
      </c>
      <c r="T21" s="26">
        <v>8.6199999999999992</v>
      </c>
      <c r="U21" s="33">
        <v>11.3</v>
      </c>
      <c r="V21" s="26">
        <v>2017.12</v>
      </c>
      <c r="W21" s="26">
        <v>290619</v>
      </c>
      <c r="X21" s="26">
        <v>1</v>
      </c>
      <c r="Y21" s="26">
        <v>181</v>
      </c>
      <c r="Z21" s="26">
        <v>29.5</v>
      </c>
      <c r="AA21" s="26">
        <v>6.04</v>
      </c>
      <c r="AB21" s="26">
        <v>3.27</v>
      </c>
      <c r="AC21" s="26">
        <v>8.7899999999999991</v>
      </c>
      <c r="AD21" s="26">
        <v>6.4</v>
      </c>
      <c r="AF21" s="37">
        <v>17</v>
      </c>
      <c r="AG21">
        <v>2014.02</v>
      </c>
      <c r="AH21">
        <v>250917</v>
      </c>
      <c r="AI21">
        <v>2</v>
      </c>
      <c r="AJ21">
        <v>159</v>
      </c>
      <c r="AK21">
        <v>38.200000000000003</v>
      </c>
      <c r="AL21">
        <v>5.0999999999999996</v>
      </c>
      <c r="AM21">
        <v>3.24</v>
      </c>
      <c r="AN21">
        <v>8.7899999999999991</v>
      </c>
      <c r="AO21">
        <v>9.4</v>
      </c>
      <c r="AP21" s="24">
        <v>2017.12</v>
      </c>
      <c r="AQ21">
        <v>290904</v>
      </c>
      <c r="AR21">
        <v>2</v>
      </c>
      <c r="AS21">
        <v>104</v>
      </c>
      <c r="AT21">
        <v>31.8</v>
      </c>
      <c r="AU21">
        <v>5.13</v>
      </c>
      <c r="AV21">
        <v>3.37</v>
      </c>
      <c r="AW21">
        <v>9.06</v>
      </c>
      <c r="AX21">
        <v>7.4</v>
      </c>
    </row>
    <row r="22" spans="3:50" x14ac:dyDescent="0.15">
      <c r="D22" s="8"/>
      <c r="E22" s="7"/>
      <c r="F22" s="9"/>
      <c r="G22" s="9"/>
      <c r="H22" s="9"/>
      <c r="I22" s="9"/>
      <c r="L22" s="37">
        <v>18</v>
      </c>
      <c r="M22">
        <v>2013.11</v>
      </c>
      <c r="N22" s="26">
        <v>250323</v>
      </c>
      <c r="O22" s="26">
        <v>1</v>
      </c>
      <c r="P22" s="26">
        <v>243</v>
      </c>
      <c r="Q22" s="26">
        <v>11.7</v>
      </c>
      <c r="R22" s="26">
        <v>4.43</v>
      </c>
      <c r="S22" s="26">
        <v>3.51</v>
      </c>
      <c r="T22" s="26">
        <v>8.65</v>
      </c>
      <c r="U22" s="33">
        <v>16.8</v>
      </c>
      <c r="V22" s="26">
        <v>2017.12</v>
      </c>
      <c r="W22" s="26">
        <v>290511</v>
      </c>
      <c r="X22" s="26">
        <v>1</v>
      </c>
      <c r="Y22" s="26">
        <v>220</v>
      </c>
      <c r="Z22" s="26">
        <v>40.799999999999997</v>
      </c>
      <c r="AA22" s="26">
        <v>3.92</v>
      </c>
      <c r="AB22" s="26">
        <v>3.29</v>
      </c>
      <c r="AC22" s="26">
        <v>8.39</v>
      </c>
      <c r="AD22" s="26">
        <v>4.4000000000000004</v>
      </c>
      <c r="AF22" s="37">
        <v>18</v>
      </c>
      <c r="AG22">
        <v>2014.02</v>
      </c>
      <c r="AH22">
        <v>250831</v>
      </c>
      <c r="AI22">
        <v>2</v>
      </c>
      <c r="AJ22">
        <v>176</v>
      </c>
      <c r="AK22">
        <v>19.399999999999999</v>
      </c>
      <c r="AL22">
        <v>3.72</v>
      </c>
      <c r="AM22">
        <v>3.59</v>
      </c>
      <c r="AN22">
        <v>9.01</v>
      </c>
      <c r="AO22">
        <v>10.1</v>
      </c>
      <c r="AP22" s="24">
        <v>2017.12</v>
      </c>
      <c r="AQ22">
        <v>290831</v>
      </c>
      <c r="AR22">
        <v>2</v>
      </c>
      <c r="AS22">
        <v>108</v>
      </c>
      <c r="AT22">
        <v>39.799999999999997</v>
      </c>
      <c r="AU22">
        <v>4.07</v>
      </c>
      <c r="AV22">
        <v>3.23</v>
      </c>
      <c r="AW22">
        <v>8.65</v>
      </c>
      <c r="AX22">
        <v>6.2</v>
      </c>
    </row>
    <row r="23" spans="3:50" x14ac:dyDescent="0.15">
      <c r="L23" s="37">
        <v>19</v>
      </c>
      <c r="M23">
        <v>2013.11</v>
      </c>
      <c r="N23" s="26">
        <v>250313</v>
      </c>
      <c r="O23" s="26">
        <v>1</v>
      </c>
      <c r="P23" s="26">
        <v>253</v>
      </c>
      <c r="Q23" s="26">
        <v>26.8</v>
      </c>
      <c r="R23" s="26">
        <v>3.66</v>
      </c>
      <c r="S23" s="26">
        <v>2.89</v>
      </c>
      <c r="T23" s="26">
        <v>8.06</v>
      </c>
      <c r="U23" s="33">
        <v>10.8</v>
      </c>
      <c r="V23" s="26">
        <v>2017.12</v>
      </c>
      <c r="W23" s="26">
        <v>290404</v>
      </c>
      <c r="X23" s="26">
        <v>1</v>
      </c>
      <c r="Y23" s="26">
        <v>257</v>
      </c>
      <c r="Z23" s="26">
        <v>30.5</v>
      </c>
      <c r="AA23" s="26">
        <v>4.0999999999999996</v>
      </c>
      <c r="AB23" s="26">
        <v>3.05</v>
      </c>
      <c r="AC23" s="26">
        <v>8.69</v>
      </c>
      <c r="AD23" s="26">
        <v>6.6</v>
      </c>
      <c r="AF23" s="37">
        <v>19</v>
      </c>
      <c r="AG23">
        <v>2014.02</v>
      </c>
      <c r="AH23">
        <v>250814</v>
      </c>
      <c r="AI23">
        <v>2</v>
      </c>
      <c r="AJ23">
        <v>193</v>
      </c>
      <c r="AK23">
        <v>40.200000000000003</v>
      </c>
      <c r="AL23">
        <v>4.1399999999999997</v>
      </c>
      <c r="AM23">
        <v>3.55</v>
      </c>
      <c r="AN23">
        <v>9.07</v>
      </c>
      <c r="AO23">
        <v>11.2</v>
      </c>
      <c r="AP23" s="24">
        <v>2017.12</v>
      </c>
      <c r="AQ23">
        <v>290830</v>
      </c>
      <c r="AR23">
        <v>2</v>
      </c>
      <c r="AS23">
        <v>109</v>
      </c>
      <c r="AT23">
        <v>30.2</v>
      </c>
      <c r="AU23">
        <v>4.51</v>
      </c>
      <c r="AV23">
        <v>3.35</v>
      </c>
      <c r="AW23">
        <v>8.6300000000000008</v>
      </c>
      <c r="AX23">
        <v>5.9</v>
      </c>
    </row>
    <row r="24" spans="3:50" x14ac:dyDescent="0.15">
      <c r="L24" s="37">
        <v>20</v>
      </c>
      <c r="M24">
        <v>2013.11</v>
      </c>
      <c r="N24" s="26">
        <v>250313</v>
      </c>
      <c r="O24" s="26">
        <v>1</v>
      </c>
      <c r="P24" s="26">
        <v>253</v>
      </c>
      <c r="Q24" s="26">
        <v>30.1</v>
      </c>
      <c r="R24" s="26">
        <v>3.39</v>
      </c>
      <c r="S24" s="26">
        <v>3.44</v>
      </c>
      <c r="T24" s="26">
        <v>8.9700000000000006</v>
      </c>
      <c r="U24" s="33">
        <v>11</v>
      </c>
      <c r="V24" s="26">
        <v>2018.01</v>
      </c>
      <c r="W24" s="26">
        <v>291003</v>
      </c>
      <c r="X24" s="26">
        <v>1</v>
      </c>
      <c r="Y24" s="26">
        <v>110</v>
      </c>
      <c r="Z24" s="26">
        <v>30.799999999999997</v>
      </c>
      <c r="AA24" s="26">
        <v>4</v>
      </c>
      <c r="AB24" s="26">
        <v>2.94</v>
      </c>
      <c r="AC24" s="26">
        <v>8.74</v>
      </c>
      <c r="AD24" s="26">
        <v>9.1</v>
      </c>
      <c r="AF24" s="37">
        <v>20</v>
      </c>
      <c r="AG24">
        <v>2014.02</v>
      </c>
      <c r="AH24">
        <v>250516</v>
      </c>
      <c r="AI24">
        <v>2</v>
      </c>
      <c r="AJ24">
        <v>283</v>
      </c>
      <c r="AK24">
        <v>33.200000000000003</v>
      </c>
      <c r="AL24">
        <v>4.07</v>
      </c>
      <c r="AM24">
        <v>3.92</v>
      </c>
      <c r="AN24">
        <v>9.3800000000000008</v>
      </c>
      <c r="AO24">
        <v>11.7</v>
      </c>
      <c r="AP24" s="24">
        <v>2017.12</v>
      </c>
      <c r="AQ24">
        <v>290819</v>
      </c>
      <c r="AR24">
        <v>2</v>
      </c>
      <c r="AS24">
        <v>120</v>
      </c>
      <c r="AT24">
        <v>39</v>
      </c>
      <c r="AU24">
        <v>4.1399999999999997</v>
      </c>
      <c r="AV24">
        <v>3.27</v>
      </c>
      <c r="AW24">
        <v>8.8800000000000008</v>
      </c>
      <c r="AX24">
        <v>8.8000000000000007</v>
      </c>
    </row>
    <row r="25" spans="3:50" x14ac:dyDescent="0.15">
      <c r="L25" s="37">
        <v>21</v>
      </c>
      <c r="M25">
        <v>2013.11</v>
      </c>
      <c r="N25" s="26">
        <v>250223</v>
      </c>
      <c r="O25" s="26">
        <v>1</v>
      </c>
      <c r="P25" s="26">
        <v>271</v>
      </c>
      <c r="Q25" s="26">
        <v>31.8</v>
      </c>
      <c r="R25" s="26">
        <v>4.03</v>
      </c>
      <c r="S25" s="26">
        <v>3.59</v>
      </c>
      <c r="T25" s="26">
        <v>9.01</v>
      </c>
      <c r="U25" s="33">
        <v>13.3</v>
      </c>
      <c r="V25" s="26">
        <v>2018.01</v>
      </c>
      <c r="W25" s="26">
        <v>290916</v>
      </c>
      <c r="X25" s="26">
        <v>1</v>
      </c>
      <c r="Y25" s="26">
        <v>127</v>
      </c>
      <c r="Z25" s="26">
        <v>44.7</v>
      </c>
      <c r="AA25" s="26">
        <v>3.16</v>
      </c>
      <c r="AB25" s="26">
        <v>2.69</v>
      </c>
      <c r="AC25" s="26">
        <v>7.7</v>
      </c>
      <c r="AD25" s="26">
        <v>7.7</v>
      </c>
      <c r="AF25" s="37">
        <v>21</v>
      </c>
      <c r="AG25">
        <v>2014.03</v>
      </c>
      <c r="AH25">
        <v>251213</v>
      </c>
      <c r="AI25">
        <v>2</v>
      </c>
      <c r="AJ25">
        <v>101</v>
      </c>
      <c r="AK25">
        <v>37.5</v>
      </c>
      <c r="AL25" s="17">
        <v>4.18</v>
      </c>
      <c r="AM25" s="17">
        <v>3</v>
      </c>
      <c r="AN25">
        <v>8.68</v>
      </c>
      <c r="AO25">
        <v>13.7</v>
      </c>
      <c r="AP25" s="24">
        <v>2017.12</v>
      </c>
      <c r="AQ25">
        <v>290815</v>
      </c>
      <c r="AR25">
        <v>2</v>
      </c>
      <c r="AS25">
        <v>124</v>
      </c>
      <c r="AT25">
        <v>30.5</v>
      </c>
      <c r="AU25">
        <v>3.51</v>
      </c>
      <c r="AV25">
        <v>3.14</v>
      </c>
      <c r="AW25">
        <v>8.61</v>
      </c>
      <c r="AX25">
        <v>6.2</v>
      </c>
    </row>
    <row r="26" spans="3:50" x14ac:dyDescent="0.15">
      <c r="L26" s="37">
        <v>22</v>
      </c>
      <c r="M26">
        <v>2013.11</v>
      </c>
      <c r="N26" s="26">
        <v>250218</v>
      </c>
      <c r="O26" s="26">
        <v>1</v>
      </c>
      <c r="P26" s="26">
        <v>276</v>
      </c>
      <c r="Q26" s="26">
        <v>28.8</v>
      </c>
      <c r="R26" s="26">
        <v>3.43</v>
      </c>
      <c r="S26" s="26">
        <v>3.49</v>
      </c>
      <c r="T26" s="26">
        <v>8.67</v>
      </c>
      <c r="U26" s="33">
        <v>12.7</v>
      </c>
      <c r="V26" s="26">
        <v>2018.01</v>
      </c>
      <c r="W26" s="26">
        <v>290916</v>
      </c>
      <c r="X26" s="26">
        <v>1</v>
      </c>
      <c r="Y26" s="26">
        <v>127</v>
      </c>
      <c r="Z26" s="26">
        <v>36.4</v>
      </c>
      <c r="AA26" s="26">
        <v>4.63</v>
      </c>
      <c r="AB26" s="26">
        <v>3.01</v>
      </c>
      <c r="AC26" s="26">
        <v>8.4600000000000009</v>
      </c>
      <c r="AD26" s="26">
        <v>9.3000000000000007</v>
      </c>
      <c r="AF26" s="37">
        <v>22</v>
      </c>
      <c r="AG26">
        <v>2014.03</v>
      </c>
      <c r="AH26">
        <v>251212</v>
      </c>
      <c r="AI26">
        <v>2</v>
      </c>
      <c r="AJ26">
        <v>102</v>
      </c>
      <c r="AK26">
        <v>41.9</v>
      </c>
      <c r="AL26">
        <v>3.91</v>
      </c>
      <c r="AM26">
        <v>2.99</v>
      </c>
      <c r="AN26">
        <v>8.33</v>
      </c>
      <c r="AO26">
        <v>14.2</v>
      </c>
      <c r="AP26" s="24">
        <v>2017.12</v>
      </c>
      <c r="AQ26">
        <v>290813</v>
      </c>
      <c r="AR26">
        <v>2</v>
      </c>
      <c r="AS26">
        <v>126</v>
      </c>
      <c r="AT26">
        <v>36.299999999999997</v>
      </c>
      <c r="AU26">
        <v>4.45</v>
      </c>
      <c r="AV26">
        <v>3.09</v>
      </c>
      <c r="AW26">
        <v>8.2799999999999994</v>
      </c>
      <c r="AX26">
        <v>8.5</v>
      </c>
    </row>
    <row r="27" spans="3:50" x14ac:dyDescent="0.15">
      <c r="L27" s="37">
        <v>23</v>
      </c>
      <c r="M27">
        <v>2013.11</v>
      </c>
      <c r="N27" s="26">
        <v>250216</v>
      </c>
      <c r="O27" s="26">
        <v>1</v>
      </c>
      <c r="P27" s="26">
        <v>278</v>
      </c>
      <c r="Q27" s="26">
        <v>29</v>
      </c>
      <c r="R27" s="26">
        <v>4.08</v>
      </c>
      <c r="S27" s="26">
        <v>3.89</v>
      </c>
      <c r="T27" s="26">
        <v>9.23</v>
      </c>
      <c r="U27" s="33">
        <v>15.3</v>
      </c>
      <c r="V27" s="26">
        <v>2018.01</v>
      </c>
      <c r="W27" s="26">
        <v>290912</v>
      </c>
      <c r="X27" s="26">
        <v>1</v>
      </c>
      <c r="Y27" s="26">
        <v>131</v>
      </c>
      <c r="Z27" s="26">
        <v>40.099999999999994</v>
      </c>
      <c r="AA27" s="26">
        <v>3.61</v>
      </c>
      <c r="AB27" s="26">
        <v>2.78</v>
      </c>
      <c r="AC27" s="26">
        <v>8.4</v>
      </c>
      <c r="AD27" s="26">
        <v>9</v>
      </c>
      <c r="AF27" s="37">
        <v>23</v>
      </c>
      <c r="AG27">
        <v>2014.03</v>
      </c>
      <c r="AH27">
        <v>251123</v>
      </c>
      <c r="AI27">
        <v>2</v>
      </c>
      <c r="AJ27">
        <v>121</v>
      </c>
      <c r="AK27">
        <v>32.6</v>
      </c>
      <c r="AL27" s="17">
        <v>3.41</v>
      </c>
      <c r="AM27">
        <v>2.92</v>
      </c>
      <c r="AN27">
        <v>8.2100000000000009</v>
      </c>
      <c r="AO27">
        <v>12.5</v>
      </c>
      <c r="AP27" s="24">
        <v>2017.12</v>
      </c>
      <c r="AQ27">
        <v>290806</v>
      </c>
      <c r="AR27">
        <v>2</v>
      </c>
      <c r="AS27">
        <v>133</v>
      </c>
      <c r="AT27">
        <v>42</v>
      </c>
      <c r="AU27">
        <v>4.79</v>
      </c>
      <c r="AV27">
        <v>3.57</v>
      </c>
      <c r="AW27">
        <v>8.98</v>
      </c>
      <c r="AX27">
        <v>7.4</v>
      </c>
    </row>
    <row r="28" spans="3:50" x14ac:dyDescent="0.15">
      <c r="L28" s="37">
        <v>24</v>
      </c>
      <c r="M28">
        <v>2013.11</v>
      </c>
      <c r="N28" s="26">
        <v>250213</v>
      </c>
      <c r="O28" s="26">
        <v>1</v>
      </c>
      <c r="P28" s="26">
        <v>281</v>
      </c>
      <c r="Q28" s="26">
        <v>27.6</v>
      </c>
      <c r="R28" s="26">
        <v>3.77</v>
      </c>
      <c r="S28" s="26">
        <v>3.51</v>
      </c>
      <c r="T28" s="26">
        <v>8.86</v>
      </c>
      <c r="U28" s="33">
        <v>12.1</v>
      </c>
      <c r="V28" s="26">
        <v>2018.01</v>
      </c>
      <c r="W28" s="26">
        <v>290907</v>
      </c>
      <c r="X28" s="26">
        <v>1</v>
      </c>
      <c r="Y28" s="26">
        <v>136</v>
      </c>
      <c r="Z28" s="26">
        <v>35</v>
      </c>
      <c r="AA28" s="26">
        <v>4.4400000000000004</v>
      </c>
      <c r="AB28" s="26">
        <v>3.24</v>
      </c>
      <c r="AC28" s="26">
        <v>8.69</v>
      </c>
      <c r="AD28" s="26">
        <v>6.2</v>
      </c>
      <c r="AF28" s="37">
        <v>24</v>
      </c>
      <c r="AG28">
        <v>2014.03</v>
      </c>
      <c r="AH28">
        <v>251028</v>
      </c>
      <c r="AI28">
        <v>2</v>
      </c>
      <c r="AJ28">
        <v>147</v>
      </c>
      <c r="AK28">
        <v>33.4</v>
      </c>
      <c r="AL28">
        <v>3.57</v>
      </c>
      <c r="AM28">
        <v>2.9</v>
      </c>
      <c r="AN28">
        <v>8.5299999999999994</v>
      </c>
      <c r="AO28">
        <v>12.4</v>
      </c>
      <c r="AP28" s="24">
        <v>2017.12</v>
      </c>
      <c r="AQ28">
        <v>290806</v>
      </c>
      <c r="AR28">
        <v>2</v>
      </c>
      <c r="AS28">
        <v>133</v>
      </c>
      <c r="AT28">
        <v>29.4</v>
      </c>
      <c r="AU28">
        <v>4.5999999999999996</v>
      </c>
      <c r="AV28">
        <v>3.25</v>
      </c>
      <c r="AW28">
        <v>8.82</v>
      </c>
      <c r="AX28">
        <v>6</v>
      </c>
    </row>
    <row r="29" spans="3:50" x14ac:dyDescent="0.15">
      <c r="L29" s="37">
        <v>25</v>
      </c>
      <c r="M29">
        <v>2013.11</v>
      </c>
      <c r="N29" s="26">
        <v>250213</v>
      </c>
      <c r="O29" s="26">
        <v>1</v>
      </c>
      <c r="P29" s="26">
        <v>281</v>
      </c>
      <c r="Q29" s="26">
        <v>18.100000000000001</v>
      </c>
      <c r="R29" s="26">
        <v>4.01</v>
      </c>
      <c r="S29" s="26">
        <v>3.38</v>
      </c>
      <c r="T29" s="26">
        <v>8.74</v>
      </c>
      <c r="U29" s="33">
        <v>14.9</v>
      </c>
      <c r="V29" s="26">
        <v>2018.01</v>
      </c>
      <c r="W29" s="26">
        <v>290904</v>
      </c>
      <c r="X29" s="26">
        <v>1</v>
      </c>
      <c r="Y29" s="26">
        <v>139</v>
      </c>
      <c r="Z29" s="26">
        <v>43.3</v>
      </c>
      <c r="AA29" s="26">
        <v>3.69</v>
      </c>
      <c r="AB29" s="26">
        <v>2.93</v>
      </c>
      <c r="AC29" s="26">
        <v>8.5</v>
      </c>
      <c r="AD29" s="26">
        <v>8</v>
      </c>
      <c r="AF29" s="37">
        <v>25</v>
      </c>
      <c r="AG29">
        <v>2014.03</v>
      </c>
      <c r="AH29">
        <v>251020</v>
      </c>
      <c r="AI29">
        <v>2</v>
      </c>
      <c r="AJ29">
        <v>155</v>
      </c>
      <c r="AK29">
        <v>43.5</v>
      </c>
      <c r="AL29">
        <v>4.6100000000000003</v>
      </c>
      <c r="AM29">
        <v>3.29</v>
      </c>
      <c r="AN29">
        <v>9.09</v>
      </c>
      <c r="AO29">
        <v>12</v>
      </c>
      <c r="AP29" s="24">
        <v>2017.12</v>
      </c>
      <c r="AQ29">
        <v>290727</v>
      </c>
      <c r="AR29">
        <v>2</v>
      </c>
      <c r="AS29">
        <v>143</v>
      </c>
      <c r="AT29">
        <v>47.4</v>
      </c>
      <c r="AU29">
        <v>3.38</v>
      </c>
      <c r="AV29"/>
      <c r="AW29">
        <v>8.17</v>
      </c>
      <c r="AX29">
        <v>8.4</v>
      </c>
    </row>
    <row r="30" spans="3:50" x14ac:dyDescent="0.15">
      <c r="L30" s="37">
        <v>26</v>
      </c>
      <c r="M30">
        <v>2013.11</v>
      </c>
      <c r="N30" s="26">
        <v>250212</v>
      </c>
      <c r="O30" s="26">
        <v>1</v>
      </c>
      <c r="P30" s="26">
        <v>282</v>
      </c>
      <c r="Q30" s="26">
        <v>26.9</v>
      </c>
      <c r="R30" s="26">
        <v>3.3</v>
      </c>
      <c r="S30" s="26">
        <v>3.3</v>
      </c>
      <c r="T30" s="26">
        <v>8.8000000000000007</v>
      </c>
      <c r="U30" s="33">
        <v>10.3</v>
      </c>
      <c r="V30" s="26">
        <v>2018.01</v>
      </c>
      <c r="W30" s="26">
        <v>290902</v>
      </c>
      <c r="X30" s="26">
        <v>1</v>
      </c>
      <c r="Y30" s="26">
        <v>141</v>
      </c>
      <c r="Z30" s="26">
        <v>29.2</v>
      </c>
      <c r="AA30" s="26">
        <v>4.24</v>
      </c>
      <c r="AB30" s="26">
        <v>2.93</v>
      </c>
      <c r="AC30" s="26">
        <v>8.2799999999999994</v>
      </c>
      <c r="AD30" s="26">
        <v>9.3000000000000007</v>
      </c>
      <c r="AF30" s="37">
        <v>26</v>
      </c>
      <c r="AG30">
        <v>2014.03</v>
      </c>
      <c r="AH30">
        <v>250917</v>
      </c>
      <c r="AI30">
        <v>2</v>
      </c>
      <c r="AJ30">
        <v>188</v>
      </c>
      <c r="AK30">
        <v>47.6</v>
      </c>
      <c r="AL30">
        <v>2.92</v>
      </c>
      <c r="AM30">
        <v>3.01</v>
      </c>
      <c r="AN30">
        <v>8.49</v>
      </c>
      <c r="AO30">
        <v>13.9</v>
      </c>
      <c r="AP30" s="24">
        <v>2017.12</v>
      </c>
      <c r="AQ30">
        <v>290722</v>
      </c>
      <c r="AR30">
        <v>2</v>
      </c>
      <c r="AS30">
        <v>148</v>
      </c>
      <c r="AT30">
        <v>43.1</v>
      </c>
      <c r="AU30">
        <v>3.4</v>
      </c>
      <c r="AV30">
        <v>3.02</v>
      </c>
      <c r="AW30">
        <v>8.4</v>
      </c>
      <c r="AX30">
        <v>8.8000000000000007</v>
      </c>
    </row>
    <row r="31" spans="3:50" x14ac:dyDescent="0.15">
      <c r="L31" s="37">
        <v>27</v>
      </c>
      <c r="M31">
        <v>2013.11</v>
      </c>
      <c r="N31" s="26">
        <v>250130</v>
      </c>
      <c r="O31" s="26">
        <v>1</v>
      </c>
      <c r="P31" s="26">
        <v>295</v>
      </c>
      <c r="Q31" s="26">
        <v>36.9</v>
      </c>
      <c r="R31" s="26">
        <v>3.26</v>
      </c>
      <c r="S31" s="26">
        <v>3.02</v>
      </c>
      <c r="T31" s="26">
        <v>8.08</v>
      </c>
      <c r="U31" s="33">
        <v>10.8</v>
      </c>
      <c r="V31" s="26">
        <v>2018.01</v>
      </c>
      <c r="W31" s="26">
        <v>290817</v>
      </c>
      <c r="X31" s="26">
        <v>1</v>
      </c>
      <c r="Y31" s="26">
        <v>157</v>
      </c>
      <c r="Z31" s="26">
        <v>35.6</v>
      </c>
      <c r="AA31" s="26">
        <v>3.73</v>
      </c>
      <c r="AB31" s="26">
        <v>3.21</v>
      </c>
      <c r="AC31" s="26">
        <v>8.7200000000000006</v>
      </c>
      <c r="AD31" s="26">
        <v>7.8</v>
      </c>
      <c r="AF31" s="37">
        <v>27</v>
      </c>
      <c r="AG31">
        <v>2014.03</v>
      </c>
      <c r="AH31">
        <v>250917</v>
      </c>
      <c r="AI31">
        <v>2</v>
      </c>
      <c r="AJ31">
        <v>188</v>
      </c>
      <c r="AK31">
        <v>26.8</v>
      </c>
      <c r="AL31">
        <v>4.97</v>
      </c>
      <c r="AM31">
        <v>3.35</v>
      </c>
      <c r="AN31">
        <v>8.93</v>
      </c>
      <c r="AO31">
        <v>13.8</v>
      </c>
      <c r="AP31" s="24">
        <v>2017.12</v>
      </c>
      <c r="AQ31">
        <v>290719</v>
      </c>
      <c r="AR31">
        <v>2</v>
      </c>
      <c r="AS31">
        <v>151</v>
      </c>
      <c r="AT31">
        <v>41.1</v>
      </c>
      <c r="AU31">
        <v>4.5</v>
      </c>
      <c r="AV31">
        <v>3.44</v>
      </c>
      <c r="AW31">
        <v>8.65</v>
      </c>
      <c r="AX31">
        <v>6.2</v>
      </c>
    </row>
    <row r="32" spans="3:50" x14ac:dyDescent="0.15">
      <c r="L32" s="37">
        <v>28</v>
      </c>
      <c r="M32">
        <v>2013.12</v>
      </c>
      <c r="N32" s="26">
        <v>250831</v>
      </c>
      <c r="O32" s="26">
        <v>1</v>
      </c>
      <c r="P32" s="26">
        <v>111</v>
      </c>
      <c r="Q32" s="26">
        <v>37</v>
      </c>
      <c r="R32" s="26">
        <v>3.46</v>
      </c>
      <c r="S32" s="26">
        <v>3</v>
      </c>
      <c r="T32" s="26">
        <v>8.56</v>
      </c>
      <c r="U32" s="33">
        <v>11.6</v>
      </c>
      <c r="V32" s="26">
        <v>2018.01</v>
      </c>
      <c r="W32" s="26">
        <v>290815</v>
      </c>
      <c r="X32" s="26">
        <v>1</v>
      </c>
      <c r="Y32" s="26">
        <v>159</v>
      </c>
      <c r="Z32" s="26">
        <v>41</v>
      </c>
      <c r="AA32" s="26">
        <v>4.03</v>
      </c>
      <c r="AB32" s="26">
        <v>3.22</v>
      </c>
      <c r="AC32" s="26">
        <v>8.82</v>
      </c>
      <c r="AD32" s="26">
        <v>7.5</v>
      </c>
      <c r="AF32" s="37">
        <v>28</v>
      </c>
      <c r="AG32">
        <v>2014.03</v>
      </c>
      <c r="AH32">
        <v>250831</v>
      </c>
      <c r="AI32">
        <v>2</v>
      </c>
      <c r="AJ32">
        <v>205</v>
      </c>
      <c r="AK32">
        <v>14.9</v>
      </c>
      <c r="AL32">
        <v>3.78</v>
      </c>
      <c r="AM32">
        <v>3.65</v>
      </c>
      <c r="AN32">
        <v>8.93</v>
      </c>
      <c r="AO32">
        <v>13.2</v>
      </c>
      <c r="AP32" s="24">
        <v>2017.12</v>
      </c>
      <c r="AQ32">
        <v>290709</v>
      </c>
      <c r="AR32">
        <v>2</v>
      </c>
      <c r="AS32">
        <v>161</v>
      </c>
      <c r="AT32">
        <v>40.4</v>
      </c>
      <c r="AU32">
        <v>4.5</v>
      </c>
      <c r="AV32">
        <v>3.26</v>
      </c>
      <c r="AW32">
        <v>8.66</v>
      </c>
      <c r="AX32">
        <v>7.6</v>
      </c>
    </row>
    <row r="33" spans="12:50" x14ac:dyDescent="0.15">
      <c r="L33" s="37">
        <v>29</v>
      </c>
      <c r="M33">
        <v>2013.12</v>
      </c>
      <c r="N33" s="26">
        <v>250829</v>
      </c>
      <c r="O33" s="26">
        <v>1</v>
      </c>
      <c r="P33" s="26">
        <v>113</v>
      </c>
      <c r="Q33" s="26">
        <v>36.6</v>
      </c>
      <c r="R33" s="26">
        <v>3.84</v>
      </c>
      <c r="S33" s="26">
        <v>3.02</v>
      </c>
      <c r="T33" s="26">
        <v>8.51</v>
      </c>
      <c r="U33" s="33">
        <v>12.2</v>
      </c>
      <c r="V33" s="26">
        <v>2018.01</v>
      </c>
      <c r="W33" s="26">
        <v>290812</v>
      </c>
      <c r="X33" s="26">
        <v>1</v>
      </c>
      <c r="Y33" s="26">
        <v>162</v>
      </c>
      <c r="Z33" s="26">
        <v>36.799999999999997</v>
      </c>
      <c r="AA33" s="26">
        <v>4.08</v>
      </c>
      <c r="AB33" s="26">
        <v>2.89</v>
      </c>
      <c r="AC33" s="26">
        <v>8.35</v>
      </c>
      <c r="AD33" s="26">
        <v>9.5</v>
      </c>
      <c r="AF33" s="37">
        <v>29</v>
      </c>
      <c r="AG33">
        <v>2014.03</v>
      </c>
      <c r="AH33">
        <v>250814</v>
      </c>
      <c r="AI33">
        <v>2</v>
      </c>
      <c r="AJ33">
        <v>222</v>
      </c>
      <c r="AK33">
        <v>36.299999999999997</v>
      </c>
      <c r="AL33">
        <v>4.1500000000000004</v>
      </c>
      <c r="AM33">
        <v>3.39</v>
      </c>
      <c r="AN33">
        <v>8.9499999999999993</v>
      </c>
      <c r="AO33">
        <v>12.2</v>
      </c>
      <c r="AP33" s="24">
        <v>2017.12</v>
      </c>
      <c r="AQ33">
        <v>290705</v>
      </c>
      <c r="AR33">
        <v>2</v>
      </c>
      <c r="AS33">
        <v>165</v>
      </c>
      <c r="AT33">
        <v>36</v>
      </c>
      <c r="AU33">
        <v>4.12</v>
      </c>
      <c r="AV33">
        <v>3.1</v>
      </c>
      <c r="AW33">
        <v>8.35</v>
      </c>
      <c r="AX33">
        <v>7.3</v>
      </c>
    </row>
    <row r="34" spans="12:50" x14ac:dyDescent="0.15">
      <c r="L34" s="37">
        <v>30</v>
      </c>
      <c r="M34">
        <v>2013.12</v>
      </c>
      <c r="N34" s="26">
        <v>250825</v>
      </c>
      <c r="O34" s="26">
        <v>1</v>
      </c>
      <c r="P34" s="26">
        <v>117</v>
      </c>
      <c r="Q34" s="26">
        <v>38.4</v>
      </c>
      <c r="R34" s="26">
        <v>3.76</v>
      </c>
      <c r="S34" s="26">
        <v>2.8</v>
      </c>
      <c r="T34" s="26">
        <v>8.4600000000000009</v>
      </c>
      <c r="U34" s="33">
        <v>11.4</v>
      </c>
      <c r="V34" s="26">
        <v>2018.01</v>
      </c>
      <c r="W34" s="26">
        <v>290811</v>
      </c>
      <c r="X34" s="26">
        <v>1</v>
      </c>
      <c r="Y34" s="26">
        <v>163</v>
      </c>
      <c r="Z34" s="26">
        <v>32.799999999999997</v>
      </c>
      <c r="AA34" s="26">
        <v>4.0999999999999996</v>
      </c>
      <c r="AB34" s="26">
        <v>3.13</v>
      </c>
      <c r="AC34" s="26">
        <v>8.7799999999999994</v>
      </c>
      <c r="AD34" s="26">
        <v>10</v>
      </c>
      <c r="AF34" s="37">
        <v>30</v>
      </c>
      <c r="AG34">
        <v>2015.11</v>
      </c>
      <c r="AH34">
        <v>270724</v>
      </c>
      <c r="AI34">
        <v>2</v>
      </c>
      <c r="AJ34">
        <v>119</v>
      </c>
      <c r="AK34">
        <v>38.4</v>
      </c>
      <c r="AL34">
        <v>3.66</v>
      </c>
      <c r="AM34">
        <v>3.66</v>
      </c>
      <c r="AN34">
        <v>9.02</v>
      </c>
      <c r="AO34">
        <v>7.9</v>
      </c>
      <c r="AP34" s="24">
        <v>2017.12</v>
      </c>
      <c r="AQ34">
        <v>290606</v>
      </c>
      <c r="AR34">
        <v>2</v>
      </c>
      <c r="AS34">
        <v>194</v>
      </c>
      <c r="AT34">
        <v>40.700000000000003</v>
      </c>
      <c r="AU34">
        <v>3.88</v>
      </c>
      <c r="AV34">
        <v>3.31</v>
      </c>
      <c r="AW34">
        <v>8.76</v>
      </c>
      <c r="AX34">
        <v>7.3</v>
      </c>
    </row>
    <row r="35" spans="12:50" x14ac:dyDescent="0.15">
      <c r="L35" s="37">
        <v>31</v>
      </c>
      <c r="M35">
        <v>2013.12</v>
      </c>
      <c r="N35" s="26">
        <v>250818</v>
      </c>
      <c r="O35" s="26">
        <v>1</v>
      </c>
      <c r="P35" s="26">
        <v>124</v>
      </c>
      <c r="Q35" s="26">
        <v>34</v>
      </c>
      <c r="R35" s="26">
        <v>3.66</v>
      </c>
      <c r="S35" s="26">
        <v>2.98</v>
      </c>
      <c r="T35" s="26">
        <v>8.43</v>
      </c>
      <c r="U35" s="33">
        <v>11.4</v>
      </c>
      <c r="V35" s="26">
        <v>2018.01</v>
      </c>
      <c r="W35" s="26">
        <v>290807</v>
      </c>
      <c r="X35" s="26">
        <v>1</v>
      </c>
      <c r="Y35" s="26">
        <v>167</v>
      </c>
      <c r="Z35" s="26">
        <v>31.5</v>
      </c>
      <c r="AA35" s="26">
        <v>3.96</v>
      </c>
      <c r="AB35" s="26">
        <v>3.05</v>
      </c>
      <c r="AC35" s="26">
        <v>8.77</v>
      </c>
      <c r="AD35" s="26">
        <v>8</v>
      </c>
      <c r="AF35" s="37">
        <v>31</v>
      </c>
      <c r="AG35">
        <v>2015.11</v>
      </c>
      <c r="AH35" s="29">
        <v>270316</v>
      </c>
      <c r="AI35" s="29">
        <v>2</v>
      </c>
      <c r="AJ35" s="29">
        <v>249</v>
      </c>
      <c r="AK35" s="29">
        <v>35</v>
      </c>
      <c r="AL35" s="29">
        <v>3.11</v>
      </c>
      <c r="AM35" s="29">
        <v>3.35</v>
      </c>
      <c r="AN35" s="29">
        <v>8.8800000000000008</v>
      </c>
      <c r="AO35" s="16">
        <v>9.1</v>
      </c>
      <c r="AP35" s="24">
        <v>2017.12</v>
      </c>
      <c r="AQ35">
        <v>290426</v>
      </c>
      <c r="AR35">
        <v>2</v>
      </c>
      <c r="AS35">
        <v>235</v>
      </c>
      <c r="AT35">
        <v>33</v>
      </c>
      <c r="AU35">
        <v>6.01</v>
      </c>
      <c r="AV35">
        <v>4.12</v>
      </c>
      <c r="AW35">
        <v>9.75</v>
      </c>
      <c r="AX35">
        <v>7.8</v>
      </c>
    </row>
    <row r="36" spans="12:50" x14ac:dyDescent="0.15">
      <c r="L36" s="37">
        <v>32</v>
      </c>
      <c r="M36">
        <v>2013.12</v>
      </c>
      <c r="N36" s="26">
        <v>250817</v>
      </c>
      <c r="O36" s="26">
        <v>1</v>
      </c>
      <c r="P36" s="26">
        <v>125</v>
      </c>
      <c r="Q36" s="26">
        <v>42.6</v>
      </c>
      <c r="R36" s="26">
        <v>3.58</v>
      </c>
      <c r="S36" s="26">
        <v>2.98</v>
      </c>
      <c r="T36" s="26">
        <v>8.57</v>
      </c>
      <c r="U36" s="33">
        <v>12.2</v>
      </c>
      <c r="V36" s="26">
        <v>2018.01</v>
      </c>
      <c r="W36" s="26">
        <v>290802</v>
      </c>
      <c r="X36" s="26">
        <v>1</v>
      </c>
      <c r="Y36" s="26">
        <v>172</v>
      </c>
      <c r="Z36" s="26">
        <v>37.6</v>
      </c>
      <c r="AA36" s="26">
        <v>4.17</v>
      </c>
      <c r="AB36" s="26">
        <v>3.04</v>
      </c>
      <c r="AC36" s="26">
        <v>8.6300000000000008</v>
      </c>
      <c r="AD36" s="26">
        <v>8</v>
      </c>
      <c r="AF36" s="37">
        <v>32</v>
      </c>
      <c r="AG36">
        <v>2015.12</v>
      </c>
      <c r="AH36" s="29">
        <v>270820</v>
      </c>
      <c r="AI36" s="29">
        <v>2</v>
      </c>
      <c r="AJ36" s="29">
        <v>119</v>
      </c>
      <c r="AK36" s="29">
        <v>29</v>
      </c>
      <c r="AL36" s="29">
        <v>3.65</v>
      </c>
      <c r="AM36" s="29">
        <v>2.82</v>
      </c>
      <c r="AN36" s="29">
        <v>8.52</v>
      </c>
      <c r="AO36" s="16">
        <v>13.3</v>
      </c>
      <c r="AP36" s="24">
        <v>2017.12</v>
      </c>
      <c r="AQ36">
        <v>290426</v>
      </c>
      <c r="AR36">
        <v>2</v>
      </c>
      <c r="AS36">
        <v>235</v>
      </c>
      <c r="AT36">
        <v>17.899999999999999</v>
      </c>
      <c r="AU36">
        <v>6.59</v>
      </c>
      <c r="AV36">
        <v>3.76</v>
      </c>
      <c r="AW36">
        <v>9.11</v>
      </c>
      <c r="AX36">
        <v>6.1</v>
      </c>
    </row>
    <row r="37" spans="12:50" x14ac:dyDescent="0.15">
      <c r="L37" s="37">
        <v>33</v>
      </c>
      <c r="M37">
        <v>2013.12</v>
      </c>
      <c r="N37" s="26">
        <v>250807</v>
      </c>
      <c r="O37" s="26">
        <v>1</v>
      </c>
      <c r="P37" s="26">
        <v>135</v>
      </c>
      <c r="Q37" s="26">
        <v>38.700000000000003</v>
      </c>
      <c r="R37" s="26">
        <v>3.98</v>
      </c>
      <c r="S37" s="26">
        <v>3.03</v>
      </c>
      <c r="T37" s="26">
        <v>8.68</v>
      </c>
      <c r="U37" s="33">
        <v>13</v>
      </c>
      <c r="V37" s="26">
        <v>2018.01</v>
      </c>
      <c r="W37" s="26">
        <v>290801</v>
      </c>
      <c r="X37" s="26">
        <v>1</v>
      </c>
      <c r="Y37" s="26">
        <v>173</v>
      </c>
      <c r="Z37" s="26">
        <v>24.3</v>
      </c>
      <c r="AA37" s="26">
        <v>3.93</v>
      </c>
      <c r="AB37" s="26">
        <v>3.01</v>
      </c>
      <c r="AC37" s="26">
        <v>8.41</v>
      </c>
      <c r="AD37" s="26">
        <v>8.9</v>
      </c>
      <c r="AF37" s="37">
        <v>33</v>
      </c>
      <c r="AG37">
        <v>2015.12</v>
      </c>
      <c r="AH37" s="29">
        <v>270816</v>
      </c>
      <c r="AI37" s="29">
        <v>2</v>
      </c>
      <c r="AJ37" s="29">
        <v>123</v>
      </c>
      <c r="AK37" s="29">
        <v>44.4</v>
      </c>
      <c r="AL37" s="29">
        <v>2.73</v>
      </c>
      <c r="AM37" s="29">
        <v>3.1</v>
      </c>
      <c r="AN37" s="29">
        <v>8.84</v>
      </c>
      <c r="AO37" s="16">
        <v>11</v>
      </c>
      <c r="AP37" s="24">
        <v>2017.12</v>
      </c>
      <c r="AQ37">
        <v>290425</v>
      </c>
      <c r="AR37">
        <v>2</v>
      </c>
      <c r="AS37">
        <v>236</v>
      </c>
      <c r="AT37">
        <v>27.4</v>
      </c>
      <c r="AU37">
        <v>3.29</v>
      </c>
      <c r="AV37">
        <v>3.16</v>
      </c>
      <c r="AW37">
        <v>8.48</v>
      </c>
      <c r="AX37">
        <v>5.7</v>
      </c>
    </row>
    <row r="38" spans="12:50" x14ac:dyDescent="0.15">
      <c r="L38" s="37">
        <v>34</v>
      </c>
      <c r="M38">
        <v>2013.12</v>
      </c>
      <c r="N38" s="26">
        <v>250804</v>
      </c>
      <c r="O38" s="26">
        <v>1</v>
      </c>
      <c r="P38" s="26">
        <v>138</v>
      </c>
      <c r="Q38" s="26">
        <v>20.3</v>
      </c>
      <c r="R38" s="26">
        <v>3.37</v>
      </c>
      <c r="S38" s="26">
        <v>3.19</v>
      </c>
      <c r="T38" s="26">
        <v>8.57</v>
      </c>
      <c r="U38" s="33">
        <v>10.9</v>
      </c>
      <c r="V38" s="26">
        <v>2018.01</v>
      </c>
      <c r="W38" s="26">
        <v>290619</v>
      </c>
      <c r="X38" s="26">
        <v>1</v>
      </c>
      <c r="Y38" s="26">
        <v>216</v>
      </c>
      <c r="Z38" s="26">
        <v>23.9</v>
      </c>
      <c r="AA38" s="26">
        <v>3.37</v>
      </c>
      <c r="AB38" s="26">
        <v>3.12</v>
      </c>
      <c r="AC38" s="26">
        <v>8.64</v>
      </c>
      <c r="AD38" s="26">
        <v>9.8000000000000007</v>
      </c>
      <c r="AF38" s="37">
        <v>34</v>
      </c>
      <c r="AG38">
        <v>2015.12</v>
      </c>
      <c r="AH38">
        <v>270724</v>
      </c>
      <c r="AI38">
        <v>2</v>
      </c>
      <c r="AJ38">
        <v>146</v>
      </c>
      <c r="AK38">
        <v>29.9</v>
      </c>
      <c r="AL38">
        <v>3.06</v>
      </c>
      <c r="AM38">
        <v>3.09</v>
      </c>
      <c r="AN38">
        <v>8.73</v>
      </c>
      <c r="AO38">
        <v>8.8000000000000007</v>
      </c>
      <c r="AP38" s="24">
        <v>2017.12</v>
      </c>
      <c r="AQ38">
        <v>290401</v>
      </c>
      <c r="AR38">
        <v>2</v>
      </c>
      <c r="AS38">
        <v>260</v>
      </c>
      <c r="AT38">
        <v>35.299999999999997</v>
      </c>
      <c r="AU38">
        <v>4.38</v>
      </c>
      <c r="AV38">
        <v>3.77</v>
      </c>
      <c r="AW38">
        <v>9.08</v>
      </c>
      <c r="AX38">
        <v>7.3</v>
      </c>
    </row>
    <row r="39" spans="12:50" x14ac:dyDescent="0.15">
      <c r="L39" s="37">
        <v>35</v>
      </c>
      <c r="M39">
        <v>2013.12</v>
      </c>
      <c r="N39" s="26">
        <v>250802</v>
      </c>
      <c r="O39" s="26">
        <v>1</v>
      </c>
      <c r="P39" s="26">
        <v>140</v>
      </c>
      <c r="Q39" s="26">
        <v>33</v>
      </c>
      <c r="R39" s="26">
        <v>3.69</v>
      </c>
      <c r="S39" s="26">
        <v>3.26</v>
      </c>
      <c r="T39" s="26">
        <v>8.85</v>
      </c>
      <c r="U39" s="33">
        <v>13.3</v>
      </c>
      <c r="V39" s="26">
        <v>2018.01</v>
      </c>
      <c r="W39" s="26">
        <v>290511</v>
      </c>
      <c r="X39" s="26">
        <v>1</v>
      </c>
      <c r="Y39" s="26">
        <v>255</v>
      </c>
      <c r="Z39" s="26">
        <v>37.700000000000003</v>
      </c>
      <c r="AA39" s="26">
        <v>4.1100000000000003</v>
      </c>
      <c r="AB39" s="26">
        <v>3.41</v>
      </c>
      <c r="AC39" s="26">
        <v>8.42</v>
      </c>
      <c r="AD39" s="26">
        <v>6.3</v>
      </c>
      <c r="AF39" s="37">
        <v>35</v>
      </c>
      <c r="AG39">
        <v>2015.12</v>
      </c>
      <c r="AH39">
        <v>270618</v>
      </c>
      <c r="AI39">
        <v>2</v>
      </c>
      <c r="AJ39">
        <v>182</v>
      </c>
      <c r="AK39">
        <v>22.6</v>
      </c>
      <c r="AL39">
        <v>3.33</v>
      </c>
      <c r="AM39">
        <v>2.93</v>
      </c>
      <c r="AN39">
        <v>8.6199999999999992</v>
      </c>
      <c r="AO39">
        <v>8</v>
      </c>
      <c r="AP39" s="24">
        <v>2017.12</v>
      </c>
      <c r="AQ39">
        <v>290330</v>
      </c>
      <c r="AR39">
        <v>2</v>
      </c>
      <c r="AS39">
        <v>262</v>
      </c>
      <c r="AT39">
        <v>17.899999999999999</v>
      </c>
      <c r="AU39">
        <v>4.71</v>
      </c>
      <c r="AV39">
        <v>3.59</v>
      </c>
      <c r="AW39">
        <v>8.39</v>
      </c>
      <c r="AX39">
        <v>6.2</v>
      </c>
    </row>
    <row r="40" spans="12:50" x14ac:dyDescent="0.15">
      <c r="L40" s="37">
        <v>36</v>
      </c>
      <c r="M40">
        <v>2013.12</v>
      </c>
      <c r="N40" s="26">
        <v>250724</v>
      </c>
      <c r="O40" s="26">
        <v>1</v>
      </c>
      <c r="P40" s="26">
        <v>149</v>
      </c>
      <c r="Q40" s="26">
        <v>38.6</v>
      </c>
      <c r="R40" s="26">
        <v>3.22</v>
      </c>
      <c r="S40" s="26">
        <v>2.8</v>
      </c>
      <c r="T40" s="26">
        <v>8.4</v>
      </c>
      <c r="U40" s="33">
        <v>15.5</v>
      </c>
      <c r="V40" s="26">
        <v>2018.01</v>
      </c>
      <c r="W40" s="26">
        <v>290404</v>
      </c>
      <c r="X40" s="26">
        <v>1</v>
      </c>
      <c r="Y40" s="26">
        <v>292</v>
      </c>
      <c r="Z40" s="26">
        <v>38.5</v>
      </c>
      <c r="AA40" s="26">
        <v>3.65</v>
      </c>
      <c r="AB40" s="26">
        <v>3.35</v>
      </c>
      <c r="AC40" s="26">
        <v>8.68</v>
      </c>
      <c r="AD40" s="26">
        <v>6</v>
      </c>
      <c r="AF40" s="37">
        <v>36</v>
      </c>
      <c r="AG40">
        <v>2016.01</v>
      </c>
      <c r="AH40">
        <v>271002</v>
      </c>
      <c r="AI40">
        <v>2</v>
      </c>
      <c r="AJ40">
        <v>112</v>
      </c>
      <c r="AK40">
        <v>31.9</v>
      </c>
      <c r="AL40">
        <v>4.8099999999999996</v>
      </c>
      <c r="AM40">
        <v>3.5</v>
      </c>
      <c r="AN40">
        <v>9.02</v>
      </c>
      <c r="AO40">
        <v>9.1999999999999993</v>
      </c>
      <c r="AP40" s="24">
        <v>2017.12</v>
      </c>
      <c r="AQ40">
        <v>290330</v>
      </c>
      <c r="AR40">
        <v>2</v>
      </c>
      <c r="AS40">
        <v>262</v>
      </c>
      <c r="AT40">
        <v>30.9</v>
      </c>
      <c r="AU40">
        <v>4.6500000000000004</v>
      </c>
      <c r="AV40">
        <v>3.92</v>
      </c>
      <c r="AW40">
        <v>9.2100000000000009</v>
      </c>
      <c r="AX40">
        <v>7.9</v>
      </c>
    </row>
    <row r="41" spans="12:50" x14ac:dyDescent="0.15">
      <c r="L41" s="37">
        <v>37</v>
      </c>
      <c r="M41">
        <v>2013.12</v>
      </c>
      <c r="N41" s="26">
        <v>250712</v>
      </c>
      <c r="O41" s="26">
        <v>1</v>
      </c>
      <c r="P41" s="26">
        <v>161</v>
      </c>
      <c r="Q41" s="26">
        <v>34.9</v>
      </c>
      <c r="R41" s="26">
        <v>3.11</v>
      </c>
      <c r="S41" s="26">
        <v>3.03</v>
      </c>
      <c r="T41" s="26">
        <v>8.43</v>
      </c>
      <c r="U41" s="33">
        <v>12.3</v>
      </c>
      <c r="V41" s="26">
        <v>2018.02</v>
      </c>
      <c r="W41" s="26">
        <v>291023</v>
      </c>
      <c r="X41" s="26">
        <v>1</v>
      </c>
      <c r="Y41" s="26">
        <v>117</v>
      </c>
      <c r="Z41" s="26">
        <v>30</v>
      </c>
      <c r="AA41" s="26">
        <v>3.94</v>
      </c>
      <c r="AB41" s="26">
        <v>2.74</v>
      </c>
      <c r="AC41" s="26">
        <v>8.1</v>
      </c>
      <c r="AD41" s="26">
        <v>8.1</v>
      </c>
      <c r="AF41" s="37">
        <v>37</v>
      </c>
      <c r="AG41">
        <v>2016.01</v>
      </c>
      <c r="AH41">
        <v>270820</v>
      </c>
      <c r="AI41">
        <v>2</v>
      </c>
      <c r="AJ41">
        <v>155</v>
      </c>
      <c r="AK41">
        <v>30.5</v>
      </c>
      <c r="AL41">
        <v>3.81</v>
      </c>
      <c r="AM41">
        <v>2.99</v>
      </c>
      <c r="AN41">
        <v>8.57</v>
      </c>
      <c r="AO41">
        <v>12</v>
      </c>
      <c r="AP41" s="24">
        <v>2017.12</v>
      </c>
      <c r="AQ41">
        <v>290320</v>
      </c>
      <c r="AR41">
        <v>2</v>
      </c>
      <c r="AS41">
        <v>272</v>
      </c>
      <c r="AT41">
        <v>42.7</v>
      </c>
      <c r="AU41">
        <v>3.9</v>
      </c>
      <c r="AV41">
        <v>3.34</v>
      </c>
      <c r="AW41">
        <v>8.77</v>
      </c>
      <c r="AX41">
        <v>7.7</v>
      </c>
    </row>
    <row r="42" spans="12:50" x14ac:dyDescent="0.15">
      <c r="L42" s="37">
        <v>38</v>
      </c>
      <c r="M42">
        <v>2013.12</v>
      </c>
      <c r="N42" s="26">
        <v>250712</v>
      </c>
      <c r="O42" s="26">
        <v>1</v>
      </c>
      <c r="P42" s="26">
        <v>161</v>
      </c>
      <c r="Q42" s="26">
        <v>36.299999999999997</v>
      </c>
      <c r="R42" s="26">
        <v>3.73</v>
      </c>
      <c r="S42" s="26">
        <v>3.04</v>
      </c>
      <c r="T42" s="26">
        <v>8.5399999999999991</v>
      </c>
      <c r="U42" s="33">
        <v>13.2</v>
      </c>
      <c r="V42" s="26">
        <v>2018.02</v>
      </c>
      <c r="W42" s="26">
        <v>291003</v>
      </c>
      <c r="X42" s="26">
        <v>1</v>
      </c>
      <c r="Y42" s="26">
        <v>137</v>
      </c>
      <c r="Z42" s="26">
        <v>35.799999999999997</v>
      </c>
      <c r="AA42" s="26">
        <v>4.45</v>
      </c>
      <c r="AB42" s="26">
        <v>2.81</v>
      </c>
      <c r="AC42" s="26">
        <v>8.57</v>
      </c>
      <c r="AD42" s="26">
        <v>11</v>
      </c>
      <c r="AF42" s="37">
        <v>38</v>
      </c>
      <c r="AG42">
        <v>2016.01</v>
      </c>
      <c r="AH42">
        <v>270816</v>
      </c>
      <c r="AI42">
        <v>2</v>
      </c>
      <c r="AJ42">
        <v>159</v>
      </c>
      <c r="AK42">
        <v>33.5</v>
      </c>
      <c r="AL42">
        <v>3.13</v>
      </c>
      <c r="AM42">
        <v>3</v>
      </c>
      <c r="AN42">
        <v>8.58</v>
      </c>
      <c r="AO42">
        <v>10.8</v>
      </c>
      <c r="AP42" s="24">
        <v>2017.12</v>
      </c>
      <c r="AQ42">
        <v>290320</v>
      </c>
      <c r="AR42">
        <v>2</v>
      </c>
      <c r="AS42">
        <v>272</v>
      </c>
      <c r="AT42">
        <v>27.3</v>
      </c>
      <c r="AU42">
        <v>4.24</v>
      </c>
      <c r="AV42">
        <v>3.6</v>
      </c>
      <c r="AW42">
        <v>8.89</v>
      </c>
      <c r="AX42">
        <v>8.5</v>
      </c>
    </row>
    <row r="43" spans="12:50" x14ac:dyDescent="0.15">
      <c r="L43" s="37">
        <v>39</v>
      </c>
      <c r="M43">
        <v>2013.12</v>
      </c>
      <c r="N43" s="26">
        <v>250617</v>
      </c>
      <c r="O43" s="26">
        <v>1</v>
      </c>
      <c r="P43" s="26">
        <v>186</v>
      </c>
      <c r="Q43" s="26">
        <v>28.3</v>
      </c>
      <c r="R43" s="26">
        <v>4.1100000000000003</v>
      </c>
      <c r="S43" s="26">
        <v>3.62</v>
      </c>
      <c r="T43" s="26">
        <v>9.14</v>
      </c>
      <c r="U43" s="33">
        <v>14.2</v>
      </c>
      <c r="V43" s="26">
        <v>2018.02</v>
      </c>
      <c r="W43" s="26">
        <v>290916</v>
      </c>
      <c r="X43" s="26">
        <v>1</v>
      </c>
      <c r="Y43" s="26">
        <v>154</v>
      </c>
      <c r="Z43" s="26">
        <v>37.5</v>
      </c>
      <c r="AA43" s="26">
        <v>3.06</v>
      </c>
      <c r="AB43" s="26">
        <v>2.82</v>
      </c>
      <c r="AC43" s="26">
        <v>7.85</v>
      </c>
      <c r="AD43" s="26">
        <v>7.3</v>
      </c>
      <c r="AF43" s="37">
        <v>39</v>
      </c>
      <c r="AG43">
        <v>2016.01</v>
      </c>
      <c r="AH43">
        <v>270618</v>
      </c>
      <c r="AI43">
        <v>2</v>
      </c>
      <c r="AJ43">
        <v>218</v>
      </c>
      <c r="AK43">
        <v>27.1</v>
      </c>
      <c r="AL43">
        <v>3.46</v>
      </c>
      <c r="AM43">
        <v>3.25</v>
      </c>
      <c r="AN43">
        <v>8.7799999999999994</v>
      </c>
      <c r="AO43">
        <v>7.5</v>
      </c>
      <c r="AP43" s="24">
        <v>2018.01</v>
      </c>
      <c r="AQ43">
        <v>290910</v>
      </c>
      <c r="AR43">
        <v>2</v>
      </c>
      <c r="AS43">
        <v>133</v>
      </c>
      <c r="AT43">
        <v>28.5</v>
      </c>
      <c r="AU43">
        <v>4.6500000000000004</v>
      </c>
      <c r="AV43">
        <v>3.34</v>
      </c>
      <c r="AW43">
        <v>8.6999999999999993</v>
      </c>
      <c r="AX43">
        <v>8.9</v>
      </c>
    </row>
    <row r="44" spans="12:50" x14ac:dyDescent="0.15">
      <c r="L44" s="37">
        <v>40</v>
      </c>
      <c r="M44">
        <v>2013.12</v>
      </c>
      <c r="N44" s="26">
        <v>250607</v>
      </c>
      <c r="O44" s="26">
        <v>1</v>
      </c>
      <c r="P44" s="26">
        <v>196</v>
      </c>
      <c r="Q44" s="26">
        <v>37.9</v>
      </c>
      <c r="R44" s="26">
        <v>3.08</v>
      </c>
      <c r="S44" s="26">
        <v>2.96</v>
      </c>
      <c r="T44" s="26">
        <v>8.5500000000000007</v>
      </c>
      <c r="U44" s="33">
        <v>13</v>
      </c>
      <c r="V44" s="26">
        <v>2018.02</v>
      </c>
      <c r="W44" s="26">
        <v>290916</v>
      </c>
      <c r="X44" s="26">
        <v>1</v>
      </c>
      <c r="Y44" s="26">
        <v>154</v>
      </c>
      <c r="Z44" s="26">
        <v>26.4</v>
      </c>
      <c r="AA44" s="26">
        <v>4.3099999999999996</v>
      </c>
      <c r="AB44" s="26">
        <v>3.14</v>
      </c>
      <c r="AC44" s="26">
        <v>8.7100000000000009</v>
      </c>
      <c r="AD44" s="26">
        <v>9.1999999999999993</v>
      </c>
      <c r="AF44" s="37">
        <v>40</v>
      </c>
      <c r="AG44">
        <v>2016.01</v>
      </c>
      <c r="AH44">
        <v>270404</v>
      </c>
      <c r="AI44">
        <v>2</v>
      </c>
      <c r="AJ44">
        <v>293</v>
      </c>
      <c r="AK44">
        <v>25.4</v>
      </c>
      <c r="AL44">
        <v>4.25</v>
      </c>
      <c r="AM44">
        <v>3.68</v>
      </c>
      <c r="AN44">
        <v>9.01</v>
      </c>
      <c r="AO44">
        <v>9</v>
      </c>
      <c r="AP44" s="24">
        <v>2018.01</v>
      </c>
      <c r="AQ44">
        <v>290904</v>
      </c>
      <c r="AR44">
        <v>2</v>
      </c>
      <c r="AS44">
        <v>139</v>
      </c>
      <c r="AT44">
        <v>35.200000000000003</v>
      </c>
      <c r="AU44">
        <v>5.36</v>
      </c>
      <c r="AV44">
        <v>3.12</v>
      </c>
      <c r="AW44">
        <v>8.61</v>
      </c>
      <c r="AX44">
        <v>8.1</v>
      </c>
    </row>
    <row r="45" spans="12:50" x14ac:dyDescent="0.15">
      <c r="L45" s="37">
        <v>41</v>
      </c>
      <c r="M45">
        <v>2013.12</v>
      </c>
      <c r="N45" s="26">
        <v>250524</v>
      </c>
      <c r="O45" s="26">
        <v>1</v>
      </c>
      <c r="P45" s="26">
        <v>210</v>
      </c>
      <c r="Q45" s="26">
        <v>38.4</v>
      </c>
      <c r="R45" s="26">
        <v>3.68</v>
      </c>
      <c r="S45" s="26">
        <v>2.93</v>
      </c>
      <c r="T45" s="26">
        <v>8.18</v>
      </c>
      <c r="U45" s="33">
        <v>14.5</v>
      </c>
      <c r="V45" s="26">
        <v>2018.02</v>
      </c>
      <c r="W45" s="26">
        <v>290912</v>
      </c>
      <c r="X45" s="26">
        <v>1</v>
      </c>
      <c r="Y45" s="26">
        <v>158</v>
      </c>
      <c r="Z45" s="26">
        <v>37</v>
      </c>
      <c r="AA45" s="26">
        <v>3.92</v>
      </c>
      <c r="AB45" s="26">
        <v>2.75</v>
      </c>
      <c r="AC45" s="26">
        <v>8.4</v>
      </c>
      <c r="AD45" s="26">
        <v>6.9</v>
      </c>
      <c r="AF45" s="37">
        <v>41</v>
      </c>
      <c r="AG45">
        <v>2016.02</v>
      </c>
      <c r="AH45">
        <v>271026</v>
      </c>
      <c r="AI45">
        <v>2</v>
      </c>
      <c r="AJ45">
        <v>118</v>
      </c>
      <c r="AK45">
        <v>32.9</v>
      </c>
      <c r="AL45">
        <v>5.0599999999999996</v>
      </c>
      <c r="AM45">
        <v>3.33</v>
      </c>
      <c r="AN45">
        <v>9.0500000000000007</v>
      </c>
      <c r="AO45">
        <v>7.7</v>
      </c>
      <c r="AP45" s="24">
        <v>2018.01</v>
      </c>
      <c r="AQ45">
        <v>290831</v>
      </c>
      <c r="AR45">
        <v>2</v>
      </c>
      <c r="AS45">
        <v>143</v>
      </c>
      <c r="AT45">
        <v>38</v>
      </c>
      <c r="AU45">
        <v>4.0999999999999996</v>
      </c>
      <c r="AV45">
        <v>3.13</v>
      </c>
      <c r="AW45">
        <v>8.5299999999999994</v>
      </c>
      <c r="AX45">
        <v>7.1</v>
      </c>
    </row>
    <row r="46" spans="12:50" x14ac:dyDescent="0.15">
      <c r="L46" s="37">
        <v>42</v>
      </c>
      <c r="M46">
        <v>2013.12</v>
      </c>
      <c r="N46" s="26">
        <v>250521</v>
      </c>
      <c r="O46" s="26">
        <v>1</v>
      </c>
      <c r="P46" s="26">
        <v>213</v>
      </c>
      <c r="Q46" s="26">
        <v>31.2</v>
      </c>
      <c r="R46" s="26">
        <v>3.76</v>
      </c>
      <c r="S46" s="26">
        <v>3.4</v>
      </c>
      <c r="T46" s="26">
        <v>8.86</v>
      </c>
      <c r="U46" s="33">
        <v>14</v>
      </c>
      <c r="V46" s="26">
        <v>2018.02</v>
      </c>
      <c r="W46" s="26">
        <v>290907</v>
      </c>
      <c r="X46" s="26">
        <v>1</v>
      </c>
      <c r="Y46" s="26">
        <v>163</v>
      </c>
      <c r="Z46" s="26">
        <v>34.700000000000003</v>
      </c>
      <c r="AA46" s="26">
        <v>4.59</v>
      </c>
      <c r="AB46" s="26">
        <v>3.22</v>
      </c>
      <c r="AC46" s="26">
        <v>8.6999999999999993</v>
      </c>
      <c r="AD46" s="26">
        <v>5.7</v>
      </c>
      <c r="AF46" s="37">
        <v>42</v>
      </c>
      <c r="AG46">
        <v>2016.02</v>
      </c>
      <c r="AH46">
        <v>271015</v>
      </c>
      <c r="AI46">
        <v>2</v>
      </c>
      <c r="AJ46">
        <v>129</v>
      </c>
      <c r="AK46">
        <v>44.2</v>
      </c>
      <c r="AL46">
        <v>4.04</v>
      </c>
      <c r="AM46">
        <v>3.29</v>
      </c>
      <c r="AN46">
        <v>8.8000000000000007</v>
      </c>
      <c r="AO46">
        <v>10.7</v>
      </c>
      <c r="AP46" s="24">
        <v>2018.01</v>
      </c>
      <c r="AQ46">
        <v>290830</v>
      </c>
      <c r="AR46">
        <v>2</v>
      </c>
      <c r="AS46">
        <v>144</v>
      </c>
      <c r="AT46">
        <v>27.200000000000003</v>
      </c>
      <c r="AU46">
        <v>4.3099999999999996</v>
      </c>
      <c r="AV46">
        <v>3.56</v>
      </c>
      <c r="AW46">
        <v>8.82</v>
      </c>
      <c r="AX46">
        <v>8</v>
      </c>
    </row>
    <row r="47" spans="12:50" x14ac:dyDescent="0.15">
      <c r="L47" s="37">
        <v>43</v>
      </c>
      <c r="M47">
        <v>2013.12</v>
      </c>
      <c r="N47" s="26">
        <v>250520</v>
      </c>
      <c r="O47" s="26">
        <v>1</v>
      </c>
      <c r="P47" s="26">
        <v>214</v>
      </c>
      <c r="Q47" s="26">
        <v>25.4</v>
      </c>
      <c r="R47" s="26">
        <v>4.41</v>
      </c>
      <c r="S47" s="26">
        <v>3.8</v>
      </c>
      <c r="T47" s="26">
        <v>9.4</v>
      </c>
      <c r="U47" s="33">
        <v>13.8</v>
      </c>
      <c r="V47" s="26">
        <v>2018.02</v>
      </c>
      <c r="W47" s="26">
        <v>290904</v>
      </c>
      <c r="X47" s="26">
        <v>1</v>
      </c>
      <c r="Y47" s="26">
        <v>166</v>
      </c>
      <c r="Z47" s="26">
        <v>43.6</v>
      </c>
      <c r="AA47" s="26">
        <v>3.94</v>
      </c>
      <c r="AB47" s="26">
        <v>3.02</v>
      </c>
      <c r="AC47" s="26">
        <v>8.66</v>
      </c>
      <c r="AD47" s="26">
        <v>7.7</v>
      </c>
      <c r="AF47" s="37">
        <v>43</v>
      </c>
      <c r="AG47">
        <v>2016.02</v>
      </c>
      <c r="AH47">
        <v>271004</v>
      </c>
      <c r="AI47">
        <v>2</v>
      </c>
      <c r="AJ47">
        <v>140</v>
      </c>
      <c r="AK47">
        <v>34.1</v>
      </c>
      <c r="AL47">
        <v>5.24</v>
      </c>
      <c r="AM47">
        <v>3.69</v>
      </c>
      <c r="AN47">
        <v>9.3800000000000008</v>
      </c>
      <c r="AO47">
        <v>7.5</v>
      </c>
      <c r="AP47" s="24">
        <v>2018.01</v>
      </c>
      <c r="AQ47">
        <v>290823</v>
      </c>
      <c r="AR47">
        <v>2</v>
      </c>
      <c r="AS47">
        <v>151</v>
      </c>
      <c r="AT47">
        <v>45.4</v>
      </c>
      <c r="AU47">
        <v>3.79</v>
      </c>
      <c r="AV47">
        <v>3.17</v>
      </c>
      <c r="AW47">
        <v>8.49</v>
      </c>
      <c r="AX47">
        <v>5.8</v>
      </c>
    </row>
    <row r="48" spans="12:50" x14ac:dyDescent="0.15">
      <c r="L48" s="37">
        <v>44</v>
      </c>
      <c r="M48">
        <v>2013.12</v>
      </c>
      <c r="N48" s="26">
        <v>250514</v>
      </c>
      <c r="O48" s="26">
        <v>1</v>
      </c>
      <c r="P48" s="26">
        <v>220</v>
      </c>
      <c r="Q48" s="26">
        <v>31.2</v>
      </c>
      <c r="R48" s="26">
        <v>3.5</v>
      </c>
      <c r="S48" s="26">
        <v>2.95</v>
      </c>
      <c r="T48" s="26">
        <v>8.4499999999999993</v>
      </c>
      <c r="U48" s="33">
        <v>12.3</v>
      </c>
      <c r="V48" s="26">
        <v>2018.02</v>
      </c>
      <c r="W48" s="26">
        <v>290902</v>
      </c>
      <c r="X48" s="26">
        <v>1</v>
      </c>
      <c r="Y48" s="26">
        <v>168</v>
      </c>
      <c r="Z48" s="26">
        <v>42.2</v>
      </c>
      <c r="AA48" s="26">
        <v>4.03</v>
      </c>
      <c r="AB48" s="26">
        <v>3.32</v>
      </c>
      <c r="AC48" s="26">
        <v>8.43</v>
      </c>
      <c r="AD48" s="26">
        <v>6.4</v>
      </c>
      <c r="AF48" s="37">
        <v>44</v>
      </c>
      <c r="AG48">
        <v>2016.02</v>
      </c>
      <c r="AH48">
        <v>271002</v>
      </c>
      <c r="AI48">
        <v>2</v>
      </c>
      <c r="AJ48">
        <v>142</v>
      </c>
      <c r="AK48">
        <v>30.5</v>
      </c>
      <c r="AL48">
        <v>5.15</v>
      </c>
      <c r="AM48">
        <v>3.68</v>
      </c>
      <c r="AN48">
        <v>9.32</v>
      </c>
      <c r="AO48">
        <v>10.6</v>
      </c>
      <c r="AP48" s="24">
        <v>2018.01</v>
      </c>
      <c r="AQ48">
        <v>290819</v>
      </c>
      <c r="AR48">
        <v>2</v>
      </c>
      <c r="AS48">
        <v>155</v>
      </c>
      <c r="AT48">
        <v>39.900000000000006</v>
      </c>
      <c r="AU48">
        <v>4.45</v>
      </c>
      <c r="AV48">
        <v>3.24</v>
      </c>
      <c r="AW48">
        <v>8.76</v>
      </c>
      <c r="AX48">
        <v>9.6999999999999993</v>
      </c>
    </row>
    <row r="49" spans="12:50" x14ac:dyDescent="0.15">
      <c r="L49" s="37">
        <v>45</v>
      </c>
      <c r="M49">
        <v>2013.12</v>
      </c>
      <c r="N49" s="26">
        <v>250504</v>
      </c>
      <c r="O49" s="26">
        <v>1</v>
      </c>
      <c r="P49" s="26">
        <v>230</v>
      </c>
      <c r="Q49" s="26">
        <v>36.200000000000003</v>
      </c>
      <c r="R49" s="26">
        <v>4.24</v>
      </c>
      <c r="S49" s="26">
        <v>3.48</v>
      </c>
      <c r="T49" s="26">
        <v>8.86</v>
      </c>
      <c r="U49" s="33">
        <v>14.9</v>
      </c>
      <c r="V49" s="26">
        <v>2018.02</v>
      </c>
      <c r="W49" s="26">
        <v>290817</v>
      </c>
      <c r="X49" s="26">
        <v>1</v>
      </c>
      <c r="Y49" s="26">
        <v>184</v>
      </c>
      <c r="Z49" s="26">
        <v>32.200000000000003</v>
      </c>
      <c r="AA49" s="26">
        <v>3.96</v>
      </c>
      <c r="AB49" s="26">
        <v>3.21</v>
      </c>
      <c r="AC49" s="26">
        <v>8.6999999999999993</v>
      </c>
      <c r="AD49" s="26">
        <v>7.8</v>
      </c>
      <c r="AF49" s="37">
        <v>45</v>
      </c>
      <c r="AG49">
        <v>2016.02</v>
      </c>
      <c r="AH49">
        <v>270820</v>
      </c>
      <c r="AI49">
        <v>2</v>
      </c>
      <c r="AJ49">
        <v>185</v>
      </c>
      <c r="AK49">
        <v>28</v>
      </c>
      <c r="AL49">
        <v>3.78</v>
      </c>
      <c r="AM49">
        <v>3</v>
      </c>
      <c r="AN49">
        <v>8.6199999999999992</v>
      </c>
      <c r="AO49">
        <v>13.9</v>
      </c>
      <c r="AP49" s="24">
        <v>2018.01</v>
      </c>
      <c r="AQ49">
        <v>290815</v>
      </c>
      <c r="AR49">
        <v>2</v>
      </c>
      <c r="AS49">
        <v>159</v>
      </c>
      <c r="AT49">
        <v>28.200000000000003</v>
      </c>
      <c r="AU49">
        <v>3.44</v>
      </c>
      <c r="AV49">
        <v>2.93</v>
      </c>
      <c r="AW49">
        <v>8.39</v>
      </c>
      <c r="AX49">
        <v>6.2</v>
      </c>
    </row>
    <row r="50" spans="12:50" x14ac:dyDescent="0.15">
      <c r="L50" s="37">
        <v>46</v>
      </c>
      <c r="M50">
        <v>2013.12</v>
      </c>
      <c r="N50" s="26">
        <v>250501</v>
      </c>
      <c r="O50" s="26">
        <v>1</v>
      </c>
      <c r="P50" s="26">
        <v>233</v>
      </c>
      <c r="Q50" s="26">
        <v>33</v>
      </c>
      <c r="R50" s="26">
        <v>4.26</v>
      </c>
      <c r="S50" s="26">
        <v>3.61</v>
      </c>
      <c r="T50" s="26">
        <v>9.24</v>
      </c>
      <c r="U50" s="33">
        <v>10.9</v>
      </c>
      <c r="V50" s="26">
        <v>2018.02</v>
      </c>
      <c r="W50" s="26">
        <v>290815</v>
      </c>
      <c r="X50" s="26">
        <v>1</v>
      </c>
      <c r="Y50" s="26">
        <v>186</v>
      </c>
      <c r="Z50" s="26">
        <v>35.700000000000003</v>
      </c>
      <c r="AA50" s="26">
        <v>3.88</v>
      </c>
      <c r="AB50" s="26">
        <v>3.29</v>
      </c>
      <c r="AC50" s="26">
        <v>8.89</v>
      </c>
      <c r="AD50" s="26">
        <v>7.5</v>
      </c>
      <c r="AF50" s="37">
        <v>46</v>
      </c>
      <c r="AG50">
        <v>2016.02</v>
      </c>
      <c r="AH50">
        <v>270816</v>
      </c>
      <c r="AI50">
        <v>2</v>
      </c>
      <c r="AJ50">
        <v>189</v>
      </c>
      <c r="AK50">
        <v>35.799999999999997</v>
      </c>
      <c r="AL50">
        <v>4.0999999999999996</v>
      </c>
      <c r="AM50">
        <v>3.29</v>
      </c>
      <c r="AN50">
        <v>8.9</v>
      </c>
      <c r="AO50">
        <v>10.4</v>
      </c>
      <c r="AP50" s="24">
        <v>2018.01</v>
      </c>
      <c r="AQ50">
        <v>290813</v>
      </c>
      <c r="AR50">
        <v>2</v>
      </c>
      <c r="AS50">
        <v>161</v>
      </c>
      <c r="AT50">
        <v>35.799999999999997</v>
      </c>
      <c r="AU50">
        <v>3.7</v>
      </c>
      <c r="AV50">
        <v>3.2</v>
      </c>
      <c r="AW50">
        <v>8.39</v>
      </c>
      <c r="AX50">
        <v>8.1</v>
      </c>
    </row>
    <row r="51" spans="12:50" x14ac:dyDescent="0.15">
      <c r="L51" s="37">
        <v>47</v>
      </c>
      <c r="M51">
        <v>2013.12</v>
      </c>
      <c r="N51" s="26">
        <v>250423</v>
      </c>
      <c r="O51" s="26">
        <v>1</v>
      </c>
      <c r="P51" s="26">
        <v>241</v>
      </c>
      <c r="Q51" s="26">
        <v>33.700000000000003</v>
      </c>
      <c r="R51" s="26">
        <v>3.72</v>
      </c>
      <c r="S51" s="26">
        <v>3.3</v>
      </c>
      <c r="T51" s="26">
        <v>8.6300000000000008</v>
      </c>
      <c r="U51" s="33">
        <v>10.7</v>
      </c>
      <c r="V51" s="26">
        <v>2018.02</v>
      </c>
      <c r="W51" s="26">
        <v>290812</v>
      </c>
      <c r="X51" s="26">
        <v>1</v>
      </c>
      <c r="Y51" s="26">
        <v>189</v>
      </c>
      <c r="Z51" s="26">
        <v>37.700000000000003</v>
      </c>
      <c r="AA51" s="26">
        <v>4.2</v>
      </c>
      <c r="AB51" s="26">
        <v>2.92</v>
      </c>
      <c r="AC51" s="26">
        <v>8.48</v>
      </c>
      <c r="AD51" s="26">
        <v>7</v>
      </c>
      <c r="AF51" s="37">
        <v>47</v>
      </c>
      <c r="AG51">
        <v>2016.02</v>
      </c>
      <c r="AH51">
        <v>270724</v>
      </c>
      <c r="AI51">
        <v>2</v>
      </c>
      <c r="AJ51">
        <v>212</v>
      </c>
      <c r="AK51">
        <v>29.5</v>
      </c>
      <c r="AL51">
        <v>3.95</v>
      </c>
      <c r="AM51">
        <v>3.36</v>
      </c>
      <c r="AN51">
        <v>8.8800000000000008</v>
      </c>
      <c r="AO51">
        <v>11</v>
      </c>
      <c r="AP51" s="24">
        <v>2018.01</v>
      </c>
      <c r="AQ51">
        <v>290806</v>
      </c>
      <c r="AR51">
        <v>2</v>
      </c>
      <c r="AS51">
        <v>168</v>
      </c>
      <c r="AT51">
        <v>32.799999999999997</v>
      </c>
      <c r="AU51">
        <v>4.53</v>
      </c>
      <c r="AV51">
        <v>3.53</v>
      </c>
      <c r="AW51">
        <v>8.94</v>
      </c>
      <c r="AX51">
        <v>9.1999999999999993</v>
      </c>
    </row>
    <row r="52" spans="12:50" x14ac:dyDescent="0.15">
      <c r="L52" s="37">
        <v>48</v>
      </c>
      <c r="M52">
        <v>2013.12</v>
      </c>
      <c r="N52" s="26">
        <v>250412</v>
      </c>
      <c r="O52" s="26">
        <v>1</v>
      </c>
      <c r="P52" s="26">
        <v>252</v>
      </c>
      <c r="Q52" s="26">
        <v>32.799999999999997</v>
      </c>
      <c r="R52" s="26">
        <v>4.6500000000000004</v>
      </c>
      <c r="S52" s="26">
        <v>3.6</v>
      </c>
      <c r="T52" s="26">
        <v>9.02</v>
      </c>
      <c r="U52" s="33">
        <v>12.2</v>
      </c>
      <c r="V52" s="26">
        <v>2018.02</v>
      </c>
      <c r="W52" s="26">
        <v>290811</v>
      </c>
      <c r="X52" s="26">
        <v>1</v>
      </c>
      <c r="Y52" s="26">
        <v>190</v>
      </c>
      <c r="Z52" s="26">
        <v>36.1</v>
      </c>
      <c r="AA52" s="26">
        <v>4.12</v>
      </c>
      <c r="AB52" s="26">
        <v>3.11</v>
      </c>
      <c r="AC52" s="26">
        <v>8.8699999999999992</v>
      </c>
      <c r="AD52" s="26">
        <v>9.6999999999999993</v>
      </c>
      <c r="AF52" s="37">
        <v>48</v>
      </c>
      <c r="AG52">
        <v>2016.02</v>
      </c>
      <c r="AH52">
        <v>270618</v>
      </c>
      <c r="AI52">
        <v>2</v>
      </c>
      <c r="AJ52">
        <v>248</v>
      </c>
      <c r="AK52">
        <v>25.7</v>
      </c>
      <c r="AL52">
        <v>3.81</v>
      </c>
      <c r="AM52">
        <v>2.92</v>
      </c>
      <c r="AN52">
        <v>8.61</v>
      </c>
      <c r="AO52">
        <v>9.1999999999999993</v>
      </c>
      <c r="AP52" s="24">
        <v>2018.01</v>
      </c>
      <c r="AQ52">
        <v>290806</v>
      </c>
      <c r="AR52">
        <v>2</v>
      </c>
      <c r="AS52">
        <v>168</v>
      </c>
      <c r="AT52">
        <v>33.1</v>
      </c>
      <c r="AU52">
        <v>4.29</v>
      </c>
      <c r="AV52">
        <v>3.34</v>
      </c>
      <c r="AW52">
        <v>9.07</v>
      </c>
      <c r="AX52">
        <v>5.7</v>
      </c>
    </row>
    <row r="53" spans="12:50" x14ac:dyDescent="0.15">
      <c r="L53" s="37">
        <v>49</v>
      </c>
      <c r="M53">
        <v>2013.12</v>
      </c>
      <c r="N53" s="26">
        <v>250406</v>
      </c>
      <c r="O53" s="26">
        <v>1</v>
      </c>
      <c r="P53" s="26">
        <v>258</v>
      </c>
      <c r="Q53" s="26">
        <v>18.100000000000001</v>
      </c>
      <c r="R53" s="26">
        <v>3.89</v>
      </c>
      <c r="S53" s="26">
        <v>2.93</v>
      </c>
      <c r="T53" s="26">
        <v>8.1300000000000008</v>
      </c>
      <c r="U53" s="33">
        <v>11.7</v>
      </c>
      <c r="V53" s="26">
        <v>2018.02</v>
      </c>
      <c r="W53" s="26">
        <v>290807</v>
      </c>
      <c r="X53" s="26">
        <v>1</v>
      </c>
      <c r="Y53" s="26">
        <v>194</v>
      </c>
      <c r="Z53" s="26">
        <v>35.200000000000003</v>
      </c>
      <c r="AA53" s="26">
        <v>4.08</v>
      </c>
      <c r="AB53" s="26">
        <v>3.14</v>
      </c>
      <c r="AC53" s="26">
        <v>8.9</v>
      </c>
      <c r="AD53" s="26">
        <v>7.4</v>
      </c>
      <c r="AF53" s="37">
        <v>49</v>
      </c>
      <c r="AG53">
        <v>2016.03</v>
      </c>
      <c r="AH53">
        <v>271117</v>
      </c>
      <c r="AI53">
        <v>2</v>
      </c>
      <c r="AJ53">
        <v>122</v>
      </c>
      <c r="AK53">
        <v>34.1</v>
      </c>
      <c r="AL53">
        <v>3.9</v>
      </c>
      <c r="AM53">
        <v>3.1</v>
      </c>
      <c r="AN53">
        <v>8.57</v>
      </c>
      <c r="AO53">
        <v>11.7</v>
      </c>
      <c r="AP53" s="24">
        <v>2018.01</v>
      </c>
      <c r="AQ53">
        <v>290727</v>
      </c>
      <c r="AR53">
        <v>2</v>
      </c>
      <c r="AS53">
        <v>178</v>
      </c>
      <c r="AT53">
        <v>48.4</v>
      </c>
      <c r="AU53">
        <v>2.92</v>
      </c>
      <c r="AV53">
        <v>2.69</v>
      </c>
      <c r="AW53">
        <v>8.1199999999999992</v>
      </c>
      <c r="AX53">
        <v>9.1999999999999993</v>
      </c>
    </row>
    <row r="54" spans="12:50" x14ac:dyDescent="0.15">
      <c r="L54" s="37">
        <v>50</v>
      </c>
      <c r="M54">
        <v>2013.12</v>
      </c>
      <c r="N54" s="26">
        <v>250323</v>
      </c>
      <c r="O54" s="26">
        <v>1</v>
      </c>
      <c r="P54" s="26">
        <v>272</v>
      </c>
      <c r="Q54" s="26">
        <v>21.3</v>
      </c>
      <c r="R54" s="26">
        <v>3.87</v>
      </c>
      <c r="S54" s="26">
        <v>3.17</v>
      </c>
      <c r="T54" s="26">
        <v>8.67</v>
      </c>
      <c r="U54" s="33">
        <v>8.9</v>
      </c>
      <c r="V54" s="26">
        <v>2018.02</v>
      </c>
      <c r="W54" s="26">
        <v>290802</v>
      </c>
      <c r="X54" s="26">
        <v>1</v>
      </c>
      <c r="Y54" s="26">
        <v>199</v>
      </c>
      <c r="Z54" s="26">
        <v>38.799999999999997</v>
      </c>
      <c r="AA54" s="26">
        <v>5.05</v>
      </c>
      <c r="AB54" s="26">
        <v>3.14</v>
      </c>
      <c r="AC54" s="26">
        <v>8.8699999999999992</v>
      </c>
      <c r="AD54" s="26">
        <v>10.1</v>
      </c>
      <c r="AF54" s="37">
        <v>50</v>
      </c>
      <c r="AG54">
        <v>2016.03</v>
      </c>
      <c r="AH54">
        <v>271026</v>
      </c>
      <c r="AI54">
        <v>2</v>
      </c>
      <c r="AJ54">
        <v>144</v>
      </c>
      <c r="AK54">
        <v>31.6</v>
      </c>
      <c r="AL54">
        <v>3.4</v>
      </c>
      <c r="AM54">
        <v>3.48</v>
      </c>
      <c r="AN54">
        <v>9.1199999999999992</v>
      </c>
      <c r="AO54">
        <v>8.4</v>
      </c>
      <c r="AP54" s="24">
        <v>2018.01</v>
      </c>
      <c r="AQ54">
        <v>290722</v>
      </c>
      <c r="AR54">
        <v>2</v>
      </c>
      <c r="AS54">
        <v>183</v>
      </c>
      <c r="AT54">
        <v>33.700000000000003</v>
      </c>
      <c r="AU54">
        <v>3.62</v>
      </c>
      <c r="AV54">
        <v>2.87</v>
      </c>
      <c r="AW54">
        <v>8.18</v>
      </c>
      <c r="AX54">
        <v>7.7</v>
      </c>
    </row>
    <row r="55" spans="12:50" x14ac:dyDescent="0.15">
      <c r="L55" s="37">
        <v>51</v>
      </c>
      <c r="M55">
        <v>2013.12</v>
      </c>
      <c r="N55" s="26">
        <v>250313</v>
      </c>
      <c r="O55" s="26">
        <v>1</v>
      </c>
      <c r="P55" s="26">
        <v>282</v>
      </c>
      <c r="Q55" s="26">
        <v>30.5</v>
      </c>
      <c r="R55" s="26">
        <v>3.7</v>
      </c>
      <c r="S55" s="26">
        <v>2.86</v>
      </c>
      <c r="T55" s="26">
        <v>8.2200000000000006</v>
      </c>
      <c r="U55" s="33">
        <v>9.1</v>
      </c>
      <c r="V55" s="26">
        <v>2018.02</v>
      </c>
      <c r="W55" s="26">
        <v>290801</v>
      </c>
      <c r="X55" s="26">
        <v>1</v>
      </c>
      <c r="Y55" s="26">
        <v>200</v>
      </c>
      <c r="Z55" s="26">
        <v>29.8</v>
      </c>
      <c r="AA55" s="26">
        <v>4.2300000000000004</v>
      </c>
      <c r="AB55" s="26">
        <v>3.23</v>
      </c>
      <c r="AC55" s="26">
        <v>8.7899999999999991</v>
      </c>
      <c r="AD55" s="26">
        <v>6.6</v>
      </c>
      <c r="AF55" s="37">
        <v>51</v>
      </c>
      <c r="AG55">
        <v>2016.03</v>
      </c>
      <c r="AH55">
        <v>271015</v>
      </c>
      <c r="AI55">
        <v>2</v>
      </c>
      <c r="AJ55">
        <v>155</v>
      </c>
      <c r="AK55">
        <v>37.299999999999997</v>
      </c>
      <c r="AL55">
        <v>3.8</v>
      </c>
      <c r="AM55">
        <v>3.34</v>
      </c>
      <c r="AN55">
        <v>8.67</v>
      </c>
      <c r="AO55">
        <v>10.6</v>
      </c>
      <c r="AP55" s="24">
        <v>2018.01</v>
      </c>
      <c r="AQ55">
        <v>290705</v>
      </c>
      <c r="AR55">
        <v>2</v>
      </c>
      <c r="AS55">
        <v>200</v>
      </c>
      <c r="AT55">
        <v>32.599999999999994</v>
      </c>
      <c r="AU55">
        <v>4.3099999999999996</v>
      </c>
      <c r="AV55">
        <v>3.08</v>
      </c>
      <c r="AW55">
        <v>8.34</v>
      </c>
      <c r="AX55">
        <v>10</v>
      </c>
    </row>
    <row r="56" spans="12:50" x14ac:dyDescent="0.15">
      <c r="L56" s="37">
        <v>52</v>
      </c>
      <c r="M56">
        <v>2013.12</v>
      </c>
      <c r="N56" s="26">
        <v>250313</v>
      </c>
      <c r="O56" s="26">
        <v>1</v>
      </c>
      <c r="P56" s="26">
        <v>282</v>
      </c>
      <c r="Q56" s="26">
        <v>29.7</v>
      </c>
      <c r="R56" s="26">
        <v>3.58</v>
      </c>
      <c r="S56" s="26">
        <v>3.44</v>
      </c>
      <c r="T56" s="26">
        <v>8.9700000000000006</v>
      </c>
      <c r="U56" s="33">
        <v>11.2</v>
      </c>
      <c r="V56" s="26">
        <v>2018.02</v>
      </c>
      <c r="W56" s="26">
        <v>290619</v>
      </c>
      <c r="X56" s="26">
        <v>1</v>
      </c>
      <c r="Y56" s="26">
        <v>243</v>
      </c>
      <c r="Z56" s="26">
        <v>25.8</v>
      </c>
      <c r="AA56" s="26">
        <v>3.57</v>
      </c>
      <c r="AB56" s="26">
        <v>3.2</v>
      </c>
      <c r="AC56" s="26">
        <v>8.67</v>
      </c>
      <c r="AD56" s="26">
        <v>7.8</v>
      </c>
      <c r="AF56" s="37">
        <v>52</v>
      </c>
      <c r="AG56">
        <v>2016.03</v>
      </c>
      <c r="AH56">
        <v>271004</v>
      </c>
      <c r="AI56">
        <v>2</v>
      </c>
      <c r="AJ56">
        <v>166</v>
      </c>
      <c r="AK56">
        <v>31.5</v>
      </c>
      <c r="AL56">
        <v>3.86</v>
      </c>
      <c r="AM56">
        <v>3.76</v>
      </c>
      <c r="AN56">
        <v>9.33</v>
      </c>
      <c r="AO56">
        <v>11.2</v>
      </c>
      <c r="AP56" s="24">
        <v>2018.01</v>
      </c>
      <c r="AQ56">
        <v>290606</v>
      </c>
      <c r="AR56">
        <v>2</v>
      </c>
      <c r="AS56">
        <v>229</v>
      </c>
      <c r="AT56">
        <v>36.200000000000003</v>
      </c>
      <c r="AU56">
        <v>3.83</v>
      </c>
      <c r="AV56">
        <v>3.39</v>
      </c>
      <c r="AW56">
        <v>8.73</v>
      </c>
      <c r="AX56">
        <v>7.6</v>
      </c>
    </row>
    <row r="57" spans="12:50" x14ac:dyDescent="0.15">
      <c r="L57" s="37">
        <v>53</v>
      </c>
      <c r="M57">
        <v>2013.12</v>
      </c>
      <c r="N57" s="26">
        <v>250223</v>
      </c>
      <c r="O57" s="26">
        <v>1</v>
      </c>
      <c r="P57" s="26">
        <v>300</v>
      </c>
      <c r="Q57" s="26">
        <v>27.6</v>
      </c>
      <c r="R57" s="26">
        <v>4.3499999999999996</v>
      </c>
      <c r="S57" s="26">
        <v>3.6</v>
      </c>
      <c r="T57" s="26">
        <v>9.11</v>
      </c>
      <c r="U57" s="33">
        <v>11.7</v>
      </c>
      <c r="V57" s="26">
        <v>2018.02</v>
      </c>
      <c r="W57" s="26">
        <v>290511</v>
      </c>
      <c r="X57" s="26">
        <v>1</v>
      </c>
      <c r="Y57" s="26">
        <v>282</v>
      </c>
      <c r="Z57" s="26">
        <v>32.9</v>
      </c>
      <c r="AA57" s="26">
        <v>3.99</v>
      </c>
      <c r="AB57" s="26">
        <v>3.53</v>
      </c>
      <c r="AC57" s="26">
        <v>8.58</v>
      </c>
      <c r="AD57" s="26">
        <v>6.4</v>
      </c>
      <c r="AF57" s="37">
        <v>53</v>
      </c>
      <c r="AG57">
        <v>2016.03</v>
      </c>
      <c r="AH57">
        <v>271002</v>
      </c>
      <c r="AI57">
        <v>2</v>
      </c>
      <c r="AJ57">
        <v>168</v>
      </c>
      <c r="AK57">
        <v>35.200000000000003</v>
      </c>
      <c r="AL57">
        <v>4.5999999999999996</v>
      </c>
      <c r="AM57">
        <v>3.42</v>
      </c>
      <c r="AN57">
        <v>8.93</v>
      </c>
      <c r="AO57">
        <v>13.3</v>
      </c>
      <c r="AP57" s="24">
        <v>2018.01</v>
      </c>
      <c r="AQ57">
        <v>290426</v>
      </c>
      <c r="AR57">
        <v>2</v>
      </c>
      <c r="AS57">
        <v>270</v>
      </c>
      <c r="AT57">
        <v>30.599999999999998</v>
      </c>
      <c r="AU57">
        <v>6.4</v>
      </c>
      <c r="AV57">
        <v>4.01</v>
      </c>
      <c r="AW57">
        <v>9.51</v>
      </c>
      <c r="AX57">
        <v>11.4</v>
      </c>
    </row>
    <row r="58" spans="12:50" x14ac:dyDescent="0.15">
      <c r="L58" s="37">
        <v>54</v>
      </c>
      <c r="M58">
        <v>2014.01</v>
      </c>
      <c r="N58" s="26">
        <v>251014</v>
      </c>
      <c r="O58" s="26">
        <v>1</v>
      </c>
      <c r="P58" s="26">
        <v>101</v>
      </c>
      <c r="Q58" s="26">
        <v>33.200000000000003</v>
      </c>
      <c r="R58" s="27">
        <v>4.03</v>
      </c>
      <c r="S58" s="27">
        <v>3.44</v>
      </c>
      <c r="T58" s="26">
        <v>9.06</v>
      </c>
      <c r="U58" s="34">
        <v>9.1</v>
      </c>
      <c r="V58" s="26">
        <v>2018.03</v>
      </c>
      <c r="W58" s="26">
        <v>291130</v>
      </c>
      <c r="X58" s="26">
        <v>1</v>
      </c>
      <c r="Y58" s="26">
        <v>108</v>
      </c>
      <c r="Z58" s="26">
        <v>20.399999999999999</v>
      </c>
      <c r="AA58" s="26">
        <v>3.6</v>
      </c>
      <c r="AB58" s="26">
        <v>3.34</v>
      </c>
      <c r="AC58" s="26">
        <v>8.9700000000000006</v>
      </c>
      <c r="AD58" s="26">
        <v>8</v>
      </c>
      <c r="AF58" s="37">
        <v>54</v>
      </c>
      <c r="AG58">
        <v>2016.03</v>
      </c>
      <c r="AH58">
        <v>270820</v>
      </c>
      <c r="AI58">
        <v>2</v>
      </c>
      <c r="AJ58">
        <v>211</v>
      </c>
      <c r="AK58">
        <v>16</v>
      </c>
      <c r="AL58">
        <v>4.71</v>
      </c>
      <c r="AM58">
        <v>2.96</v>
      </c>
      <c r="AN58">
        <v>8.15</v>
      </c>
      <c r="AO58">
        <v>14</v>
      </c>
      <c r="AP58" s="24">
        <v>2018.01</v>
      </c>
      <c r="AQ58">
        <v>290426</v>
      </c>
      <c r="AR58">
        <v>2</v>
      </c>
      <c r="AS58">
        <v>270</v>
      </c>
      <c r="AT58">
        <v>26</v>
      </c>
      <c r="AU58">
        <v>4.6399999999999997</v>
      </c>
      <c r="AV58">
        <v>3.69</v>
      </c>
      <c r="AW58">
        <v>9.2799999999999994</v>
      </c>
      <c r="AX58">
        <v>5.3</v>
      </c>
    </row>
    <row r="59" spans="12:50" x14ac:dyDescent="0.15">
      <c r="L59" s="37">
        <v>55</v>
      </c>
      <c r="M59">
        <v>2014.01</v>
      </c>
      <c r="N59" s="26">
        <v>250919</v>
      </c>
      <c r="O59" s="26">
        <v>1</v>
      </c>
      <c r="P59" s="26">
        <v>126</v>
      </c>
      <c r="Q59" s="26">
        <v>36.299999999999997</v>
      </c>
      <c r="R59" s="26">
        <v>3.32</v>
      </c>
      <c r="S59" s="26">
        <v>3.27</v>
      </c>
      <c r="T59" s="26">
        <v>8.73</v>
      </c>
      <c r="U59" s="34">
        <v>16.399999999999999</v>
      </c>
      <c r="V59" s="26">
        <v>2018.03</v>
      </c>
      <c r="W59" s="26">
        <v>291126</v>
      </c>
      <c r="X59" s="26">
        <v>1</v>
      </c>
      <c r="Y59" s="26">
        <v>112</v>
      </c>
      <c r="Z59" s="26">
        <v>33.700000000000003</v>
      </c>
      <c r="AA59" s="26">
        <v>4.16</v>
      </c>
      <c r="AB59" s="26">
        <v>3.32</v>
      </c>
      <c r="AC59" s="26">
        <v>8.8699999999999992</v>
      </c>
      <c r="AD59" s="26">
        <v>7.6</v>
      </c>
      <c r="AF59" s="37">
        <v>55</v>
      </c>
      <c r="AG59">
        <v>2016.03</v>
      </c>
      <c r="AH59">
        <v>270816</v>
      </c>
      <c r="AI59">
        <v>2</v>
      </c>
      <c r="AJ59">
        <v>215</v>
      </c>
      <c r="AK59">
        <v>27</v>
      </c>
      <c r="AL59">
        <v>3.73</v>
      </c>
      <c r="AM59">
        <v>3.5</v>
      </c>
      <c r="AN59">
        <v>9.09</v>
      </c>
      <c r="AO59">
        <v>12.7</v>
      </c>
      <c r="AP59" s="24">
        <v>2018.01</v>
      </c>
      <c r="AQ59">
        <v>290425</v>
      </c>
      <c r="AR59">
        <v>2</v>
      </c>
      <c r="AS59">
        <v>271</v>
      </c>
      <c r="AT59">
        <v>19.2</v>
      </c>
      <c r="AU59">
        <v>3.98</v>
      </c>
      <c r="AV59">
        <v>3.33</v>
      </c>
      <c r="AW59">
        <v>8.5500000000000007</v>
      </c>
      <c r="AX59">
        <v>8.8000000000000007</v>
      </c>
    </row>
    <row r="60" spans="12:50" x14ac:dyDescent="0.15">
      <c r="L60" s="37">
        <v>56</v>
      </c>
      <c r="M60">
        <v>2014.01</v>
      </c>
      <c r="N60" s="26">
        <v>250918</v>
      </c>
      <c r="O60" s="26">
        <v>1</v>
      </c>
      <c r="P60" s="26">
        <v>127</v>
      </c>
      <c r="Q60" s="26">
        <v>23.4</v>
      </c>
      <c r="R60" s="26">
        <v>3.71</v>
      </c>
      <c r="S60" s="26">
        <v>3.12</v>
      </c>
      <c r="T60" s="26">
        <v>8.5399999999999991</v>
      </c>
      <c r="U60" s="34">
        <v>14</v>
      </c>
      <c r="V60" s="26">
        <v>2018.03</v>
      </c>
      <c r="W60" s="26">
        <v>291121</v>
      </c>
      <c r="X60" s="26">
        <v>1</v>
      </c>
      <c r="Y60" s="26">
        <v>117</v>
      </c>
      <c r="Z60" s="26">
        <v>17.399999999999999</v>
      </c>
      <c r="AA60" s="26">
        <v>4.96</v>
      </c>
      <c r="AB60" s="26">
        <v>3.52</v>
      </c>
      <c r="AC60" s="26">
        <v>9.35</v>
      </c>
      <c r="AD60" s="26">
        <v>9.9</v>
      </c>
      <c r="AF60" s="37">
        <v>56</v>
      </c>
      <c r="AG60">
        <v>2016.03</v>
      </c>
      <c r="AH60">
        <v>270618</v>
      </c>
      <c r="AI60">
        <v>2</v>
      </c>
      <c r="AJ60">
        <v>274</v>
      </c>
      <c r="AK60">
        <v>27.8</v>
      </c>
      <c r="AL60">
        <v>3.68</v>
      </c>
      <c r="AM60">
        <v>3.41</v>
      </c>
      <c r="AN60">
        <v>8.83</v>
      </c>
      <c r="AO60">
        <v>8.6</v>
      </c>
      <c r="AP60" s="24">
        <v>2018.01</v>
      </c>
      <c r="AQ60">
        <v>290401</v>
      </c>
      <c r="AR60">
        <v>2</v>
      </c>
      <c r="AS60">
        <v>295</v>
      </c>
      <c r="AT60">
        <v>32</v>
      </c>
      <c r="AU60">
        <v>3.25</v>
      </c>
      <c r="AV60">
        <v>3.7</v>
      </c>
      <c r="AW60">
        <v>9.01</v>
      </c>
      <c r="AX60">
        <v>6.3</v>
      </c>
    </row>
    <row r="61" spans="12:50" x14ac:dyDescent="0.15">
      <c r="L61" s="37">
        <v>57</v>
      </c>
      <c r="M61">
        <v>2014.01</v>
      </c>
      <c r="N61" s="26">
        <v>250918</v>
      </c>
      <c r="O61" s="26">
        <v>1</v>
      </c>
      <c r="P61" s="26">
        <v>127</v>
      </c>
      <c r="Q61" s="26">
        <v>33.5</v>
      </c>
      <c r="R61" s="26">
        <v>4.2</v>
      </c>
      <c r="S61" s="26">
        <v>3.2</v>
      </c>
      <c r="T61" s="26">
        <v>8.73</v>
      </c>
      <c r="U61" s="34">
        <v>16.2</v>
      </c>
      <c r="V61" s="26">
        <v>2018.03</v>
      </c>
      <c r="W61" s="26">
        <v>291110</v>
      </c>
      <c r="X61" s="26">
        <v>1</v>
      </c>
      <c r="Y61" s="26">
        <v>128</v>
      </c>
      <c r="Z61" s="26">
        <v>37.200000000000003</v>
      </c>
      <c r="AA61" s="26">
        <v>3.3</v>
      </c>
      <c r="AB61" s="26">
        <v>2.92</v>
      </c>
      <c r="AC61" s="26">
        <v>8.34</v>
      </c>
      <c r="AD61" s="26">
        <v>8.8000000000000007</v>
      </c>
      <c r="AF61" s="37">
        <v>57</v>
      </c>
      <c r="AG61">
        <v>2013.11</v>
      </c>
      <c r="AH61">
        <v>250803</v>
      </c>
      <c r="AI61">
        <v>3</v>
      </c>
      <c r="AJ61">
        <v>110</v>
      </c>
      <c r="AK61">
        <v>46.6</v>
      </c>
      <c r="AL61">
        <v>4.09</v>
      </c>
      <c r="AM61">
        <v>3.06</v>
      </c>
      <c r="AN61">
        <v>8.44</v>
      </c>
      <c r="AO61">
        <v>11.7</v>
      </c>
      <c r="AP61" s="24">
        <v>2018.02</v>
      </c>
      <c r="AQ61">
        <v>291022</v>
      </c>
      <c r="AR61">
        <v>2</v>
      </c>
      <c r="AS61">
        <v>118</v>
      </c>
      <c r="AT61">
        <v>18.7</v>
      </c>
      <c r="AU61">
        <v>3.13</v>
      </c>
      <c r="AV61">
        <v>3.39</v>
      </c>
      <c r="AW61">
        <v>8.34</v>
      </c>
      <c r="AX61">
        <v>7.7</v>
      </c>
    </row>
    <row r="62" spans="12:50" x14ac:dyDescent="0.15">
      <c r="L62" s="37">
        <v>58</v>
      </c>
      <c r="M62">
        <v>2014.01</v>
      </c>
      <c r="N62" s="26">
        <v>250831</v>
      </c>
      <c r="O62" s="26">
        <v>1</v>
      </c>
      <c r="P62" s="26">
        <v>145</v>
      </c>
      <c r="Q62" s="26">
        <v>42.7</v>
      </c>
      <c r="R62" s="26">
        <v>3.89</v>
      </c>
      <c r="S62" s="26">
        <v>2.94</v>
      </c>
      <c r="T62" s="26">
        <v>8.69</v>
      </c>
      <c r="U62" s="34">
        <v>14.1</v>
      </c>
      <c r="V62" s="26">
        <v>2018.03</v>
      </c>
      <c r="W62" s="26">
        <v>291023</v>
      </c>
      <c r="X62" s="26">
        <v>1</v>
      </c>
      <c r="Y62" s="26">
        <v>146</v>
      </c>
      <c r="Z62" s="26">
        <v>35.200000000000003</v>
      </c>
      <c r="AA62" s="26">
        <v>3.94</v>
      </c>
      <c r="AB62" s="26">
        <v>2.74</v>
      </c>
      <c r="AC62" s="26">
        <v>7.99</v>
      </c>
      <c r="AD62" s="26">
        <v>8.8000000000000007</v>
      </c>
      <c r="AF62" s="37">
        <v>58</v>
      </c>
      <c r="AG62">
        <v>2013.11</v>
      </c>
      <c r="AH62">
        <v>250215</v>
      </c>
      <c r="AI62">
        <v>3</v>
      </c>
      <c r="AJ62">
        <v>279</v>
      </c>
      <c r="AK62">
        <v>28.4</v>
      </c>
      <c r="AL62">
        <v>4.6399999999999997</v>
      </c>
      <c r="AM62">
        <v>3.53</v>
      </c>
      <c r="AN62">
        <v>9.02</v>
      </c>
      <c r="AO62">
        <v>12.5</v>
      </c>
      <c r="AP62" s="24">
        <v>2018.02</v>
      </c>
      <c r="AQ62">
        <v>291017</v>
      </c>
      <c r="AR62">
        <v>2</v>
      </c>
      <c r="AS62">
        <v>123</v>
      </c>
      <c r="AT62">
        <v>30.3</v>
      </c>
      <c r="AU62">
        <v>4.26</v>
      </c>
      <c r="AV62">
        <v>3.26</v>
      </c>
      <c r="AW62">
        <v>8.84</v>
      </c>
      <c r="AX62">
        <v>7.2</v>
      </c>
    </row>
    <row r="63" spans="12:50" x14ac:dyDescent="0.15">
      <c r="L63" s="37">
        <v>59</v>
      </c>
      <c r="M63">
        <v>2014.01</v>
      </c>
      <c r="N63" s="26">
        <v>250829</v>
      </c>
      <c r="O63" s="26">
        <v>1</v>
      </c>
      <c r="P63" s="26">
        <v>147</v>
      </c>
      <c r="Q63" s="26">
        <v>37.799999999999997</v>
      </c>
      <c r="R63" s="26">
        <v>3.98</v>
      </c>
      <c r="S63" s="26">
        <v>3.12</v>
      </c>
      <c r="T63" s="26">
        <v>8.59</v>
      </c>
      <c r="U63" s="34">
        <v>13.2</v>
      </c>
      <c r="V63" s="26">
        <v>2018.03</v>
      </c>
      <c r="W63" s="26">
        <v>291003</v>
      </c>
      <c r="X63" s="26">
        <v>1</v>
      </c>
      <c r="Y63" s="26">
        <v>166</v>
      </c>
      <c r="Z63" s="26">
        <v>36</v>
      </c>
      <c r="AA63" s="26">
        <v>4.45</v>
      </c>
      <c r="AB63" s="26">
        <v>3</v>
      </c>
      <c r="AC63" s="26">
        <v>8.8699999999999992</v>
      </c>
      <c r="AD63" s="26">
        <v>8.8000000000000007</v>
      </c>
      <c r="AF63" s="37">
        <v>59</v>
      </c>
      <c r="AG63">
        <v>2013.11</v>
      </c>
      <c r="AH63">
        <v>250209</v>
      </c>
      <c r="AI63">
        <v>3</v>
      </c>
      <c r="AJ63">
        <v>285</v>
      </c>
      <c r="AK63">
        <v>23.1</v>
      </c>
      <c r="AL63">
        <v>3.97</v>
      </c>
      <c r="AM63">
        <v>3.62</v>
      </c>
      <c r="AN63">
        <v>9</v>
      </c>
      <c r="AO63">
        <v>13</v>
      </c>
      <c r="AP63" s="24">
        <v>2018.02</v>
      </c>
      <c r="AQ63">
        <v>290904</v>
      </c>
      <c r="AR63">
        <v>2</v>
      </c>
      <c r="AS63">
        <v>166</v>
      </c>
      <c r="AT63">
        <v>34.799999999999997</v>
      </c>
      <c r="AU63">
        <v>3.77</v>
      </c>
      <c r="AV63">
        <v>3.41</v>
      </c>
      <c r="AW63">
        <v>9.0399999999999991</v>
      </c>
      <c r="AX63">
        <v>8.4</v>
      </c>
    </row>
    <row r="64" spans="12:50" x14ac:dyDescent="0.15">
      <c r="L64" s="37">
        <v>60</v>
      </c>
      <c r="M64">
        <v>2014.01</v>
      </c>
      <c r="N64" s="26">
        <v>250825</v>
      </c>
      <c r="O64" s="26">
        <v>1</v>
      </c>
      <c r="P64" s="26">
        <v>151</v>
      </c>
      <c r="Q64" s="26">
        <v>45</v>
      </c>
      <c r="R64" s="26">
        <v>4.5599999999999996</v>
      </c>
      <c r="S64" s="26">
        <v>2.89</v>
      </c>
      <c r="T64" s="26">
        <v>8.4499999999999993</v>
      </c>
      <c r="U64" s="34">
        <v>12.7</v>
      </c>
      <c r="V64" s="26">
        <v>2018.03</v>
      </c>
      <c r="W64" s="26">
        <v>290916</v>
      </c>
      <c r="X64" s="26">
        <v>1</v>
      </c>
      <c r="Y64" s="26">
        <v>183</v>
      </c>
      <c r="Z64" s="26">
        <v>40.299999999999997</v>
      </c>
      <c r="AA64" s="26">
        <v>3.06</v>
      </c>
      <c r="AB64" s="26">
        <v>2.82</v>
      </c>
      <c r="AC64" s="26">
        <v>7.81</v>
      </c>
      <c r="AD64" s="26">
        <v>8.3000000000000007</v>
      </c>
      <c r="AF64" s="37">
        <v>60</v>
      </c>
      <c r="AG64">
        <v>2013.12</v>
      </c>
      <c r="AH64">
        <v>250803</v>
      </c>
      <c r="AI64">
        <v>3</v>
      </c>
      <c r="AJ64">
        <v>139</v>
      </c>
      <c r="AK64">
        <v>42.4</v>
      </c>
      <c r="AL64">
        <v>3.84</v>
      </c>
      <c r="AM64">
        <v>3.13</v>
      </c>
      <c r="AN64">
        <v>8.6</v>
      </c>
      <c r="AO64">
        <v>12.8</v>
      </c>
      <c r="AP64" s="24">
        <v>2018.02</v>
      </c>
      <c r="AQ64">
        <v>290831</v>
      </c>
      <c r="AR64">
        <v>2</v>
      </c>
      <c r="AS64">
        <v>170</v>
      </c>
      <c r="AT64">
        <v>37.4</v>
      </c>
      <c r="AU64">
        <v>3.72</v>
      </c>
      <c r="AV64">
        <v>3.08</v>
      </c>
      <c r="AW64">
        <v>8.48</v>
      </c>
      <c r="AX64">
        <v>7.6</v>
      </c>
    </row>
    <row r="65" spans="12:50" x14ac:dyDescent="0.15">
      <c r="L65" s="37">
        <v>61</v>
      </c>
      <c r="M65">
        <v>2014.01</v>
      </c>
      <c r="N65" s="26">
        <v>250818</v>
      </c>
      <c r="O65" s="26">
        <v>1</v>
      </c>
      <c r="P65" s="26">
        <v>158</v>
      </c>
      <c r="Q65" s="26">
        <v>34.4</v>
      </c>
      <c r="R65" s="26">
        <v>3.48</v>
      </c>
      <c r="S65" s="26">
        <v>3.04</v>
      </c>
      <c r="T65" s="26">
        <v>8.66</v>
      </c>
      <c r="U65" s="34">
        <v>13.9</v>
      </c>
      <c r="V65" s="26">
        <v>2018.03</v>
      </c>
      <c r="W65" s="26">
        <v>290916</v>
      </c>
      <c r="X65" s="26">
        <v>1</v>
      </c>
      <c r="Y65" s="26">
        <v>183</v>
      </c>
      <c r="Z65" s="26">
        <v>36.6</v>
      </c>
      <c r="AA65" s="26">
        <v>4.3099999999999996</v>
      </c>
      <c r="AB65" s="26">
        <v>3.24</v>
      </c>
      <c r="AC65" s="26">
        <v>8.86</v>
      </c>
      <c r="AD65" s="26">
        <v>11.6</v>
      </c>
      <c r="AF65" s="37">
        <v>61</v>
      </c>
      <c r="AG65">
        <v>2013.12</v>
      </c>
      <c r="AH65">
        <v>250614</v>
      </c>
      <c r="AI65">
        <v>3</v>
      </c>
      <c r="AJ65">
        <v>189</v>
      </c>
      <c r="AK65">
        <v>29.8</v>
      </c>
      <c r="AL65">
        <v>3.9</v>
      </c>
      <c r="AM65">
        <v>3.54</v>
      </c>
      <c r="AN65">
        <v>8.27</v>
      </c>
      <c r="AO65">
        <v>9.6999999999999993</v>
      </c>
      <c r="AP65" s="24">
        <v>2018.02</v>
      </c>
      <c r="AQ65">
        <v>290830</v>
      </c>
      <c r="AR65">
        <v>2</v>
      </c>
      <c r="AS65">
        <v>171</v>
      </c>
      <c r="AT65">
        <v>24.3</v>
      </c>
      <c r="AU65">
        <v>4.3499999999999996</v>
      </c>
      <c r="AV65">
        <v>3.59</v>
      </c>
      <c r="AW65">
        <v>8.8000000000000007</v>
      </c>
      <c r="AX65">
        <v>8.9</v>
      </c>
    </row>
    <row r="66" spans="12:50" x14ac:dyDescent="0.15">
      <c r="L66" s="37">
        <v>62</v>
      </c>
      <c r="M66">
        <v>2014.01</v>
      </c>
      <c r="N66" s="26">
        <v>250817</v>
      </c>
      <c r="O66" s="26">
        <v>1</v>
      </c>
      <c r="P66" s="26">
        <v>159</v>
      </c>
      <c r="Q66" s="26">
        <v>42.3</v>
      </c>
      <c r="R66" s="26">
        <v>3.08</v>
      </c>
      <c r="S66" s="26">
        <v>3.03</v>
      </c>
      <c r="T66" s="26">
        <v>8.57</v>
      </c>
      <c r="U66" s="34">
        <v>12.4</v>
      </c>
      <c r="V66" s="26">
        <v>2018.03</v>
      </c>
      <c r="W66" s="26">
        <v>290912</v>
      </c>
      <c r="X66" s="26">
        <v>1</v>
      </c>
      <c r="Y66" s="26">
        <v>187</v>
      </c>
      <c r="Z66" s="26">
        <v>38.4</v>
      </c>
      <c r="AA66" s="26">
        <v>3.92</v>
      </c>
      <c r="AB66" s="26">
        <v>2.88</v>
      </c>
      <c r="AC66" s="26">
        <v>8.5500000000000007</v>
      </c>
      <c r="AD66" s="26">
        <v>9.5</v>
      </c>
      <c r="AF66" s="37">
        <v>62</v>
      </c>
      <c r="AG66">
        <v>2014.01</v>
      </c>
      <c r="AH66">
        <v>251015</v>
      </c>
      <c r="AI66">
        <v>3</v>
      </c>
      <c r="AJ66">
        <v>100</v>
      </c>
      <c r="AK66">
        <v>39.9</v>
      </c>
      <c r="AL66">
        <v>4.29</v>
      </c>
      <c r="AM66">
        <v>3.17</v>
      </c>
      <c r="AN66">
        <v>8.6</v>
      </c>
      <c r="AO66" s="17">
        <v>13.7</v>
      </c>
      <c r="AP66" s="24">
        <v>2018.02</v>
      </c>
      <c r="AQ66">
        <v>290819</v>
      </c>
      <c r="AR66">
        <v>2</v>
      </c>
      <c r="AS66">
        <v>182</v>
      </c>
      <c r="AT66">
        <v>35.200000000000003</v>
      </c>
      <c r="AU66">
        <v>4.24</v>
      </c>
      <c r="AV66">
        <v>3.35</v>
      </c>
      <c r="AW66">
        <v>8.9499999999999993</v>
      </c>
      <c r="AX66">
        <v>10.3</v>
      </c>
    </row>
    <row r="67" spans="12:50" x14ac:dyDescent="0.15">
      <c r="L67" s="37">
        <v>63</v>
      </c>
      <c r="M67">
        <v>2014.01</v>
      </c>
      <c r="N67" s="26">
        <v>250807</v>
      </c>
      <c r="O67" s="26">
        <v>1</v>
      </c>
      <c r="P67" s="26">
        <v>169</v>
      </c>
      <c r="Q67" s="26">
        <v>46.5</v>
      </c>
      <c r="R67" s="26">
        <v>3.55</v>
      </c>
      <c r="S67" s="26">
        <v>3.06</v>
      </c>
      <c r="T67" s="26">
        <v>8.76</v>
      </c>
      <c r="U67" s="34">
        <v>13.9</v>
      </c>
      <c r="V67" s="26">
        <v>2018.03</v>
      </c>
      <c r="W67" s="26">
        <v>290907</v>
      </c>
      <c r="X67" s="26">
        <v>1</v>
      </c>
      <c r="Y67" s="26">
        <v>192</v>
      </c>
      <c r="Z67" s="26">
        <v>34.9</v>
      </c>
      <c r="AA67" s="26">
        <v>4.59</v>
      </c>
      <c r="AB67" s="26">
        <v>3.3</v>
      </c>
      <c r="AC67" s="26">
        <v>8.75</v>
      </c>
      <c r="AD67" s="26">
        <v>7.1</v>
      </c>
      <c r="AF67" s="37">
        <v>63</v>
      </c>
      <c r="AG67">
        <v>2014.01</v>
      </c>
      <c r="AH67">
        <v>251006</v>
      </c>
      <c r="AI67">
        <v>3</v>
      </c>
      <c r="AJ67">
        <v>109</v>
      </c>
      <c r="AK67">
        <v>41.6</v>
      </c>
      <c r="AL67">
        <v>3.28</v>
      </c>
      <c r="AM67">
        <v>3.07</v>
      </c>
      <c r="AN67">
        <v>8.74</v>
      </c>
      <c r="AO67" s="17">
        <v>11.6</v>
      </c>
      <c r="AP67" s="24">
        <v>2018.02</v>
      </c>
      <c r="AQ67">
        <v>290815</v>
      </c>
      <c r="AR67">
        <v>2</v>
      </c>
      <c r="AS67">
        <v>186</v>
      </c>
      <c r="AT67">
        <v>24.8</v>
      </c>
      <c r="AU67">
        <v>3.4</v>
      </c>
      <c r="AV67">
        <v>3.08</v>
      </c>
      <c r="AW67">
        <v>8.57</v>
      </c>
      <c r="AX67">
        <v>8.3000000000000007</v>
      </c>
    </row>
    <row r="68" spans="12:50" x14ac:dyDescent="0.15">
      <c r="L68" s="37">
        <v>64</v>
      </c>
      <c r="M68">
        <v>2014.01</v>
      </c>
      <c r="N68" s="26">
        <v>250804</v>
      </c>
      <c r="O68" s="26">
        <v>1</v>
      </c>
      <c r="P68" s="26">
        <v>172</v>
      </c>
      <c r="Q68" s="26">
        <v>29.4</v>
      </c>
      <c r="R68" s="26">
        <v>3.65</v>
      </c>
      <c r="S68" s="26">
        <v>2.96</v>
      </c>
      <c r="T68" s="26">
        <v>8.4499999999999993</v>
      </c>
      <c r="U68" s="34">
        <v>11</v>
      </c>
      <c r="V68" s="26">
        <v>2018.03</v>
      </c>
      <c r="W68" s="26">
        <v>290902</v>
      </c>
      <c r="X68" s="26">
        <v>1</v>
      </c>
      <c r="Y68" s="26">
        <v>197</v>
      </c>
      <c r="Z68" s="26">
        <v>44</v>
      </c>
      <c r="AA68" s="26">
        <v>4.03</v>
      </c>
      <c r="AB68" s="26">
        <v>3.23</v>
      </c>
      <c r="AC68" s="26">
        <v>8.34</v>
      </c>
      <c r="AD68" s="26">
        <v>7</v>
      </c>
      <c r="AF68" s="37">
        <v>64</v>
      </c>
      <c r="AG68">
        <v>2014.01</v>
      </c>
      <c r="AH68">
        <v>250803</v>
      </c>
      <c r="AI68">
        <v>3</v>
      </c>
      <c r="AJ68">
        <v>173</v>
      </c>
      <c r="AK68">
        <v>44.1</v>
      </c>
      <c r="AL68">
        <v>3.16</v>
      </c>
      <c r="AM68">
        <v>2.94</v>
      </c>
      <c r="AN68">
        <v>8.44</v>
      </c>
      <c r="AO68" s="17">
        <v>14</v>
      </c>
      <c r="AP68" s="24">
        <v>2018.02</v>
      </c>
      <c r="AQ68">
        <v>290813</v>
      </c>
      <c r="AR68">
        <v>2</v>
      </c>
      <c r="AS68">
        <v>188</v>
      </c>
      <c r="AT68">
        <v>35.299999999999997</v>
      </c>
      <c r="AU68">
        <v>4.1399999999999997</v>
      </c>
      <c r="AV68">
        <v>3.15</v>
      </c>
      <c r="AW68">
        <v>8.43</v>
      </c>
      <c r="AX68">
        <v>6.3</v>
      </c>
    </row>
    <row r="69" spans="12:50" x14ac:dyDescent="0.15">
      <c r="L69" s="37">
        <v>65</v>
      </c>
      <c r="M69">
        <v>2014.01</v>
      </c>
      <c r="N69" s="26">
        <v>250802</v>
      </c>
      <c r="O69" s="26">
        <v>1</v>
      </c>
      <c r="P69" s="26">
        <v>174</v>
      </c>
      <c r="Q69" s="26">
        <v>32.5</v>
      </c>
      <c r="R69" s="26">
        <v>4.17</v>
      </c>
      <c r="S69" s="26">
        <v>3.32</v>
      </c>
      <c r="T69" s="26">
        <v>8.9600000000000009</v>
      </c>
      <c r="U69" s="34">
        <v>13.7</v>
      </c>
      <c r="V69" s="26">
        <v>2018.03</v>
      </c>
      <c r="W69" s="26">
        <v>290815</v>
      </c>
      <c r="X69" s="26">
        <v>1</v>
      </c>
      <c r="Y69" s="26">
        <v>215</v>
      </c>
      <c r="Z69" s="26">
        <v>36.6</v>
      </c>
      <c r="AA69" s="26">
        <v>3.88</v>
      </c>
      <c r="AB69" s="26">
        <v>3.25</v>
      </c>
      <c r="AC69" s="26">
        <v>8.76</v>
      </c>
      <c r="AD69" s="26">
        <v>6.7</v>
      </c>
      <c r="AF69" s="37">
        <v>65</v>
      </c>
      <c r="AG69">
        <v>2014.01</v>
      </c>
      <c r="AH69">
        <v>250614</v>
      </c>
      <c r="AI69">
        <v>3</v>
      </c>
      <c r="AJ69">
        <v>223</v>
      </c>
      <c r="AK69">
        <v>32.700000000000003</v>
      </c>
      <c r="AL69">
        <v>3.82</v>
      </c>
      <c r="AM69">
        <v>3.61</v>
      </c>
      <c r="AN69">
        <v>8.35</v>
      </c>
      <c r="AO69" s="17">
        <v>11.4</v>
      </c>
      <c r="AP69" s="24">
        <v>2018.02</v>
      </c>
      <c r="AQ69">
        <v>290806</v>
      </c>
      <c r="AR69">
        <v>2</v>
      </c>
      <c r="AS69">
        <v>195</v>
      </c>
      <c r="AT69">
        <v>33.799999999999997</v>
      </c>
      <c r="AU69">
        <v>4.8099999999999996</v>
      </c>
      <c r="AV69">
        <v>3.55</v>
      </c>
      <c r="AW69">
        <v>9.0399999999999991</v>
      </c>
      <c r="AX69">
        <v>9.5</v>
      </c>
    </row>
    <row r="70" spans="12:50" x14ac:dyDescent="0.15">
      <c r="L70" s="37">
        <v>66</v>
      </c>
      <c r="M70">
        <v>2014.01</v>
      </c>
      <c r="N70" s="26">
        <v>250724</v>
      </c>
      <c r="O70" s="26">
        <v>1</v>
      </c>
      <c r="P70" s="26">
        <v>183</v>
      </c>
      <c r="Q70" s="26">
        <v>43.8</v>
      </c>
      <c r="R70" s="26">
        <v>3.03</v>
      </c>
      <c r="S70" s="26">
        <v>2.89</v>
      </c>
      <c r="T70" s="26">
        <v>8.51</v>
      </c>
      <c r="U70" s="34">
        <v>14.6</v>
      </c>
      <c r="V70" s="26">
        <v>2018.03</v>
      </c>
      <c r="W70" s="26">
        <v>290812</v>
      </c>
      <c r="X70" s="26">
        <v>1</v>
      </c>
      <c r="Y70" s="26">
        <v>218</v>
      </c>
      <c r="Z70" s="26">
        <v>41</v>
      </c>
      <c r="AA70" s="26">
        <v>4.2</v>
      </c>
      <c r="AB70" s="26">
        <v>3.09</v>
      </c>
      <c r="AC70" s="26">
        <v>8.6300000000000008</v>
      </c>
      <c r="AD70" s="26">
        <v>8.1</v>
      </c>
      <c r="AF70" s="37">
        <v>66</v>
      </c>
      <c r="AG70">
        <v>2014.02</v>
      </c>
      <c r="AH70">
        <v>251024</v>
      </c>
      <c r="AI70">
        <v>3</v>
      </c>
      <c r="AJ70">
        <v>122</v>
      </c>
      <c r="AK70">
        <v>43.7</v>
      </c>
      <c r="AL70">
        <v>3.54</v>
      </c>
      <c r="AM70">
        <v>3.11</v>
      </c>
      <c r="AN70">
        <v>8.4700000000000006</v>
      </c>
      <c r="AO70">
        <v>12.1</v>
      </c>
      <c r="AP70" s="24">
        <v>2018.02</v>
      </c>
      <c r="AQ70">
        <v>290806</v>
      </c>
      <c r="AR70">
        <v>2</v>
      </c>
      <c r="AS70">
        <v>195</v>
      </c>
      <c r="AT70">
        <v>28.8</v>
      </c>
      <c r="AU70">
        <v>3.85</v>
      </c>
      <c r="AV70">
        <v>3.51</v>
      </c>
      <c r="AW70">
        <v>9.18</v>
      </c>
      <c r="AX70">
        <v>6.6</v>
      </c>
    </row>
    <row r="71" spans="12:50" x14ac:dyDescent="0.15">
      <c r="L71" s="37">
        <v>67</v>
      </c>
      <c r="M71">
        <v>2014.01</v>
      </c>
      <c r="N71" s="26">
        <v>250712</v>
      </c>
      <c r="O71" s="26">
        <v>1</v>
      </c>
      <c r="P71" s="26">
        <v>195</v>
      </c>
      <c r="Q71" s="26">
        <v>43.4</v>
      </c>
      <c r="R71" s="26">
        <v>2.8</v>
      </c>
      <c r="S71" s="26">
        <v>3.07</v>
      </c>
      <c r="T71" s="26">
        <v>8.6199999999999992</v>
      </c>
      <c r="U71" s="34">
        <v>14.2</v>
      </c>
      <c r="V71" s="26">
        <v>2018.03</v>
      </c>
      <c r="W71" s="26">
        <v>290811</v>
      </c>
      <c r="X71" s="26">
        <v>1</v>
      </c>
      <c r="Y71" s="26">
        <v>219</v>
      </c>
      <c r="Z71" s="26">
        <v>36.299999999999997</v>
      </c>
      <c r="AA71" s="26">
        <v>4.12</v>
      </c>
      <c r="AB71" s="26">
        <v>3.2</v>
      </c>
      <c r="AC71" s="26">
        <v>8.94</v>
      </c>
      <c r="AD71" s="26">
        <v>9.5</v>
      </c>
      <c r="AF71" s="37">
        <v>67</v>
      </c>
      <c r="AG71">
        <v>2014.02</v>
      </c>
      <c r="AH71">
        <v>251015</v>
      </c>
      <c r="AI71">
        <v>3</v>
      </c>
      <c r="AJ71">
        <v>131</v>
      </c>
      <c r="AK71">
        <v>38.4</v>
      </c>
      <c r="AL71">
        <v>4.08</v>
      </c>
      <c r="AM71">
        <v>3.19</v>
      </c>
      <c r="AN71">
        <v>8.6199999999999992</v>
      </c>
      <c r="AO71">
        <v>13.1</v>
      </c>
      <c r="AP71" s="24">
        <v>2018.02</v>
      </c>
      <c r="AQ71">
        <v>290727</v>
      </c>
      <c r="AR71">
        <v>2</v>
      </c>
      <c r="AS71">
        <v>205</v>
      </c>
      <c r="AT71">
        <v>49</v>
      </c>
      <c r="AU71">
        <v>3.49</v>
      </c>
      <c r="AV71">
        <v>2.77</v>
      </c>
      <c r="AW71">
        <v>8.2100000000000009</v>
      </c>
      <c r="AX71">
        <v>9.9</v>
      </c>
    </row>
    <row r="72" spans="12:50" x14ac:dyDescent="0.15">
      <c r="L72" s="37">
        <v>68</v>
      </c>
      <c r="M72">
        <v>2014.01</v>
      </c>
      <c r="N72" s="26">
        <v>250712</v>
      </c>
      <c r="O72" s="26">
        <v>1</v>
      </c>
      <c r="P72" s="26">
        <v>195</v>
      </c>
      <c r="Q72" s="26">
        <v>29.6</v>
      </c>
      <c r="R72" s="26">
        <v>3.65</v>
      </c>
      <c r="S72" s="26">
        <v>3.06</v>
      </c>
      <c r="T72" s="26">
        <v>8.59</v>
      </c>
      <c r="U72" s="34">
        <v>14.3</v>
      </c>
      <c r="V72" s="26">
        <v>2018.03</v>
      </c>
      <c r="W72" s="26">
        <v>290807</v>
      </c>
      <c r="X72" s="26">
        <v>1</v>
      </c>
      <c r="Y72" s="26">
        <v>223</v>
      </c>
      <c r="Z72" s="26">
        <v>38.799999999999997</v>
      </c>
      <c r="AA72" s="26">
        <v>4.08</v>
      </c>
      <c r="AB72" s="26">
        <v>3.14</v>
      </c>
      <c r="AC72" s="26">
        <v>8.86</v>
      </c>
      <c r="AD72" s="26">
        <v>6.6</v>
      </c>
      <c r="AF72" s="37">
        <v>68</v>
      </c>
      <c r="AG72">
        <v>2014.02</v>
      </c>
      <c r="AH72">
        <v>251006</v>
      </c>
      <c r="AI72">
        <v>3</v>
      </c>
      <c r="AJ72">
        <v>140</v>
      </c>
      <c r="AK72">
        <v>38.6</v>
      </c>
      <c r="AL72">
        <v>4.5</v>
      </c>
      <c r="AM72">
        <v>3.07</v>
      </c>
      <c r="AN72">
        <v>8.49</v>
      </c>
      <c r="AO72">
        <v>10.1</v>
      </c>
      <c r="AP72" s="24">
        <v>2018.02</v>
      </c>
      <c r="AQ72">
        <v>290722</v>
      </c>
      <c r="AR72">
        <v>2</v>
      </c>
      <c r="AS72">
        <v>210</v>
      </c>
      <c r="AT72">
        <v>36</v>
      </c>
      <c r="AU72">
        <v>3.06</v>
      </c>
      <c r="AV72">
        <v>2.91</v>
      </c>
      <c r="AW72">
        <v>8.2100000000000009</v>
      </c>
      <c r="AX72">
        <v>7.9</v>
      </c>
    </row>
    <row r="73" spans="12:50" x14ac:dyDescent="0.15">
      <c r="L73" s="37">
        <v>69</v>
      </c>
      <c r="M73">
        <v>2014.01</v>
      </c>
      <c r="N73" s="26">
        <v>250620</v>
      </c>
      <c r="O73" s="26">
        <v>1</v>
      </c>
      <c r="P73" s="26">
        <v>217</v>
      </c>
      <c r="Q73" s="26">
        <v>40.6</v>
      </c>
      <c r="R73" s="27">
        <v>3.45</v>
      </c>
      <c r="S73" s="27">
        <v>3.19</v>
      </c>
      <c r="T73" s="26">
        <v>8.82</v>
      </c>
      <c r="U73" s="33">
        <v>12.8</v>
      </c>
      <c r="V73" s="26">
        <v>2018.03</v>
      </c>
      <c r="W73" s="26">
        <v>290802</v>
      </c>
      <c r="X73" s="26">
        <v>1</v>
      </c>
      <c r="Y73" s="26">
        <v>228</v>
      </c>
      <c r="Z73" s="26">
        <v>36.4</v>
      </c>
      <c r="AA73" s="26">
        <v>5.05</v>
      </c>
      <c r="AB73" s="26">
        <v>3</v>
      </c>
      <c r="AC73" s="26">
        <v>8.77</v>
      </c>
      <c r="AD73" s="26">
        <v>10.3</v>
      </c>
      <c r="AF73" s="37">
        <v>69</v>
      </c>
      <c r="AG73">
        <v>2014.02</v>
      </c>
      <c r="AH73">
        <v>250803</v>
      </c>
      <c r="AI73">
        <v>3</v>
      </c>
      <c r="AJ73">
        <v>204</v>
      </c>
      <c r="AK73">
        <v>37.799999999999997</v>
      </c>
      <c r="AL73">
        <v>4.67</v>
      </c>
      <c r="AM73">
        <v>3.12</v>
      </c>
      <c r="AN73">
        <v>8.56</v>
      </c>
      <c r="AO73">
        <v>11.1</v>
      </c>
      <c r="AP73" s="24">
        <v>2018.02</v>
      </c>
      <c r="AQ73">
        <v>290719</v>
      </c>
      <c r="AR73">
        <v>2</v>
      </c>
      <c r="AS73">
        <v>213</v>
      </c>
      <c r="AT73">
        <v>32.700000000000003</v>
      </c>
      <c r="AU73">
        <v>4.99</v>
      </c>
      <c r="AV73">
        <v>3.96</v>
      </c>
      <c r="AW73">
        <v>9.14</v>
      </c>
      <c r="AX73">
        <v>9.5</v>
      </c>
    </row>
    <row r="74" spans="12:50" x14ac:dyDescent="0.15">
      <c r="L74" s="37">
        <v>70</v>
      </c>
      <c r="M74">
        <v>2014.01</v>
      </c>
      <c r="N74" s="26">
        <v>250618</v>
      </c>
      <c r="O74" s="26">
        <v>1</v>
      </c>
      <c r="P74" s="26">
        <v>219</v>
      </c>
      <c r="Q74" s="26">
        <v>14.9</v>
      </c>
      <c r="R74" s="27">
        <v>4.1399999999999997</v>
      </c>
      <c r="S74" s="26">
        <v>3.46</v>
      </c>
      <c r="T74" s="26">
        <v>9.08</v>
      </c>
      <c r="U74" s="34">
        <v>10</v>
      </c>
      <c r="V74" s="26">
        <v>2018.03</v>
      </c>
      <c r="W74" s="26">
        <v>290801</v>
      </c>
      <c r="X74" s="26">
        <v>1</v>
      </c>
      <c r="Y74" s="26">
        <v>229</v>
      </c>
      <c r="Z74" s="26">
        <v>24.6</v>
      </c>
      <c r="AA74" s="26">
        <v>4.2300000000000004</v>
      </c>
      <c r="AB74" s="26">
        <v>3.1</v>
      </c>
      <c r="AC74" s="26">
        <v>8.5500000000000007</v>
      </c>
      <c r="AD74" s="26">
        <v>5.6</v>
      </c>
      <c r="AF74" s="37">
        <v>70</v>
      </c>
      <c r="AG74">
        <v>2014.02</v>
      </c>
      <c r="AH74">
        <v>250707</v>
      </c>
      <c r="AI74">
        <v>3</v>
      </c>
      <c r="AJ74">
        <v>231</v>
      </c>
      <c r="AK74">
        <v>31.3</v>
      </c>
      <c r="AL74">
        <v>3.54</v>
      </c>
      <c r="AM74">
        <v>3.41</v>
      </c>
      <c r="AN74">
        <v>8.6999999999999993</v>
      </c>
      <c r="AO74">
        <v>14.2</v>
      </c>
      <c r="AP74" s="24">
        <v>2018.02</v>
      </c>
      <c r="AQ74">
        <v>290705</v>
      </c>
      <c r="AR74">
        <v>2</v>
      </c>
      <c r="AS74">
        <v>227</v>
      </c>
      <c r="AT74">
        <v>28.1</v>
      </c>
      <c r="AU74">
        <v>4.82</v>
      </c>
      <c r="AV74">
        <v>3.13</v>
      </c>
      <c r="AW74">
        <v>8.32</v>
      </c>
      <c r="AX74">
        <v>9.4</v>
      </c>
    </row>
    <row r="75" spans="12:50" x14ac:dyDescent="0.15">
      <c r="L75" s="37">
        <v>71</v>
      </c>
      <c r="M75">
        <v>2014.01</v>
      </c>
      <c r="N75" s="26">
        <v>250617</v>
      </c>
      <c r="O75" s="26">
        <v>1</v>
      </c>
      <c r="P75" s="26">
        <v>220</v>
      </c>
      <c r="Q75" s="26">
        <v>31.8</v>
      </c>
      <c r="R75" s="26">
        <v>4.3499999999999996</v>
      </c>
      <c r="S75" s="26">
        <v>3.71</v>
      </c>
      <c r="T75" s="26">
        <v>9.32</v>
      </c>
      <c r="U75" s="34">
        <v>13.7</v>
      </c>
      <c r="V75" s="26">
        <v>2018.03</v>
      </c>
      <c r="W75" s="26">
        <v>290619</v>
      </c>
      <c r="X75" s="26">
        <v>1</v>
      </c>
      <c r="Y75" s="26">
        <v>272</v>
      </c>
      <c r="Z75" s="26">
        <v>25.8</v>
      </c>
      <c r="AA75" s="26">
        <v>3.57</v>
      </c>
      <c r="AB75" s="26">
        <v>3.15</v>
      </c>
      <c r="AC75" s="26">
        <v>8.66</v>
      </c>
      <c r="AD75" s="26">
        <v>9.1</v>
      </c>
      <c r="AF75" s="37">
        <v>71</v>
      </c>
      <c r="AG75">
        <v>2014.02</v>
      </c>
      <c r="AH75">
        <v>250614</v>
      </c>
      <c r="AI75">
        <v>3</v>
      </c>
      <c r="AJ75">
        <v>254</v>
      </c>
      <c r="AK75">
        <v>28.8</v>
      </c>
      <c r="AL75">
        <v>3.77</v>
      </c>
      <c r="AM75">
        <v>3.89</v>
      </c>
      <c r="AN75">
        <v>8.56</v>
      </c>
      <c r="AO75">
        <v>12.1</v>
      </c>
      <c r="AP75" s="24">
        <v>2018.02</v>
      </c>
      <c r="AQ75">
        <v>290606</v>
      </c>
      <c r="AR75">
        <v>2</v>
      </c>
      <c r="AS75">
        <v>256</v>
      </c>
      <c r="AT75">
        <v>32.6</v>
      </c>
      <c r="AU75">
        <v>4.08</v>
      </c>
      <c r="AV75">
        <v>3.56</v>
      </c>
      <c r="AW75">
        <v>8.98</v>
      </c>
      <c r="AX75">
        <v>8.4</v>
      </c>
    </row>
    <row r="76" spans="12:50" x14ac:dyDescent="0.15">
      <c r="L76" s="37">
        <v>72</v>
      </c>
      <c r="M76">
        <v>2014.01</v>
      </c>
      <c r="N76" s="26">
        <v>250607</v>
      </c>
      <c r="O76" s="26">
        <v>1</v>
      </c>
      <c r="P76" s="26">
        <v>230</v>
      </c>
      <c r="Q76" s="26">
        <v>40.5</v>
      </c>
      <c r="R76" s="26">
        <v>3.22</v>
      </c>
      <c r="S76" s="26">
        <v>2.94</v>
      </c>
      <c r="T76" s="26">
        <v>8.5500000000000007</v>
      </c>
      <c r="U76" s="34">
        <v>14.2</v>
      </c>
      <c r="V76" s="26">
        <v>2018.11</v>
      </c>
      <c r="W76" s="26">
        <v>300804</v>
      </c>
      <c r="X76" s="26">
        <v>1</v>
      </c>
      <c r="Y76" s="26">
        <v>106</v>
      </c>
      <c r="Z76" s="26">
        <v>36</v>
      </c>
      <c r="AA76" s="26">
        <v>4.07</v>
      </c>
      <c r="AB76" s="26">
        <v>3.05</v>
      </c>
      <c r="AC76" s="26">
        <v>8.56</v>
      </c>
      <c r="AD76" s="26">
        <v>9.6999999999999993</v>
      </c>
      <c r="AF76" s="37">
        <v>72</v>
      </c>
      <c r="AG76">
        <v>2014.03</v>
      </c>
      <c r="AH76">
        <v>251203</v>
      </c>
      <c r="AI76">
        <v>3</v>
      </c>
      <c r="AJ76">
        <v>111</v>
      </c>
      <c r="AK76">
        <v>40</v>
      </c>
      <c r="AL76">
        <v>3.95</v>
      </c>
      <c r="AM76">
        <v>3.32</v>
      </c>
      <c r="AN76">
        <v>8.7799999999999994</v>
      </c>
      <c r="AO76">
        <v>13.7</v>
      </c>
      <c r="AP76" s="24">
        <v>2018.02</v>
      </c>
      <c r="AQ76">
        <v>290426</v>
      </c>
      <c r="AR76">
        <v>2</v>
      </c>
      <c r="AS76">
        <v>297</v>
      </c>
      <c r="AT76">
        <v>38.6</v>
      </c>
      <c r="AU76">
        <v>5.12</v>
      </c>
      <c r="AV76">
        <v>4.09</v>
      </c>
      <c r="AW76">
        <v>9.51</v>
      </c>
      <c r="AX76">
        <v>9.1</v>
      </c>
    </row>
    <row r="77" spans="12:50" x14ac:dyDescent="0.15">
      <c r="L77" s="37">
        <v>73</v>
      </c>
      <c r="M77">
        <v>2014.01</v>
      </c>
      <c r="N77" s="26">
        <v>250524</v>
      </c>
      <c r="O77" s="26">
        <v>1</v>
      </c>
      <c r="P77" s="26">
        <v>244</v>
      </c>
      <c r="Q77" s="26">
        <v>30.9</v>
      </c>
      <c r="R77" s="26">
        <v>3.22</v>
      </c>
      <c r="S77" s="26">
        <v>2.91</v>
      </c>
      <c r="T77" s="26">
        <v>8.16</v>
      </c>
      <c r="U77" s="34">
        <v>13.1</v>
      </c>
      <c r="V77" s="26">
        <v>2018.11</v>
      </c>
      <c r="W77" s="26">
        <v>300731</v>
      </c>
      <c r="X77" s="26">
        <v>1</v>
      </c>
      <c r="Y77" s="26">
        <v>110</v>
      </c>
      <c r="Z77" s="26">
        <v>36.1</v>
      </c>
      <c r="AA77" s="26">
        <v>4.28</v>
      </c>
      <c r="AB77" s="26">
        <v>2.86</v>
      </c>
      <c r="AC77" s="26">
        <v>8.24</v>
      </c>
      <c r="AD77" s="26">
        <v>10.9</v>
      </c>
      <c r="AF77" s="37">
        <v>73</v>
      </c>
      <c r="AG77">
        <v>2014.03</v>
      </c>
      <c r="AH77">
        <v>251117</v>
      </c>
      <c r="AI77">
        <v>3</v>
      </c>
      <c r="AJ77">
        <v>127</v>
      </c>
      <c r="AK77">
        <v>46.9</v>
      </c>
      <c r="AL77">
        <v>3.25</v>
      </c>
      <c r="AM77">
        <v>3.04</v>
      </c>
      <c r="AN77">
        <v>8.57</v>
      </c>
      <c r="AO77">
        <v>12.9</v>
      </c>
      <c r="AP77" s="24">
        <v>2018.02</v>
      </c>
      <c r="AQ77">
        <v>290426</v>
      </c>
      <c r="AR77">
        <v>2</v>
      </c>
      <c r="AS77">
        <v>297</v>
      </c>
      <c r="AT77">
        <v>23.4</v>
      </c>
      <c r="AU77">
        <v>4.42</v>
      </c>
      <c r="AV77">
        <v>3.8</v>
      </c>
      <c r="AW77">
        <v>9.26</v>
      </c>
      <c r="AX77">
        <v>5.8</v>
      </c>
    </row>
    <row r="78" spans="12:50" x14ac:dyDescent="0.15">
      <c r="L78" s="37">
        <v>74</v>
      </c>
      <c r="M78">
        <v>2014.01</v>
      </c>
      <c r="N78" s="26">
        <v>250521</v>
      </c>
      <c r="O78" s="26">
        <v>1</v>
      </c>
      <c r="P78" s="26">
        <v>247</v>
      </c>
      <c r="Q78" s="26">
        <v>30.2</v>
      </c>
      <c r="R78" s="26">
        <v>3.93</v>
      </c>
      <c r="S78" s="26">
        <v>3.43</v>
      </c>
      <c r="T78" s="26">
        <v>8.92</v>
      </c>
      <c r="U78" s="34">
        <v>12.1</v>
      </c>
      <c r="V78" s="26">
        <v>2018.11</v>
      </c>
      <c r="W78" s="26">
        <v>300630</v>
      </c>
      <c r="X78" s="26">
        <v>1</v>
      </c>
      <c r="Y78" s="26">
        <v>141</v>
      </c>
      <c r="Z78" s="26">
        <v>36.299999999999997</v>
      </c>
      <c r="AA78" s="26">
        <v>4.7300000000000004</v>
      </c>
      <c r="AB78" s="26">
        <v>3.4</v>
      </c>
      <c r="AC78" s="26">
        <v>8.9499999999999993</v>
      </c>
      <c r="AD78" s="26">
        <v>11.3</v>
      </c>
      <c r="AF78" s="37">
        <v>74</v>
      </c>
      <c r="AG78">
        <v>2014.03</v>
      </c>
      <c r="AH78">
        <v>251024</v>
      </c>
      <c r="AI78">
        <v>3</v>
      </c>
      <c r="AJ78">
        <v>151</v>
      </c>
      <c r="AK78">
        <v>41</v>
      </c>
      <c r="AL78">
        <v>4.09</v>
      </c>
      <c r="AM78">
        <v>2.99</v>
      </c>
      <c r="AN78">
        <v>8.41</v>
      </c>
      <c r="AO78">
        <v>14.2</v>
      </c>
      <c r="AP78" s="24">
        <v>2018.02</v>
      </c>
      <c r="AQ78">
        <v>290425</v>
      </c>
      <c r="AR78">
        <v>2</v>
      </c>
      <c r="AS78">
        <v>298</v>
      </c>
      <c r="AT78">
        <v>12.9</v>
      </c>
      <c r="AU78">
        <v>2.94</v>
      </c>
      <c r="AV78">
        <v>3.22</v>
      </c>
      <c r="AW78">
        <v>8.36</v>
      </c>
      <c r="AX78">
        <v>4</v>
      </c>
    </row>
    <row r="79" spans="12:50" x14ac:dyDescent="0.15">
      <c r="L79" s="37">
        <v>75</v>
      </c>
      <c r="M79">
        <v>2014.01</v>
      </c>
      <c r="N79" s="26">
        <v>250520</v>
      </c>
      <c r="O79" s="26">
        <v>1</v>
      </c>
      <c r="P79" s="26">
        <v>248</v>
      </c>
      <c r="Q79" s="26">
        <v>29.9</v>
      </c>
      <c r="R79" s="26">
        <v>4.34</v>
      </c>
      <c r="S79" s="26">
        <v>3.83</v>
      </c>
      <c r="T79" s="26">
        <v>9.39</v>
      </c>
      <c r="U79" s="34">
        <v>11.8</v>
      </c>
      <c r="V79" s="26">
        <v>2018.11</v>
      </c>
      <c r="W79" s="26">
        <v>300623</v>
      </c>
      <c r="X79" s="26">
        <v>1</v>
      </c>
      <c r="Y79" s="26">
        <v>148</v>
      </c>
      <c r="Z79" s="26">
        <v>36.9</v>
      </c>
      <c r="AA79" s="26">
        <v>3.47</v>
      </c>
      <c r="AB79" s="26">
        <v>3.08</v>
      </c>
      <c r="AC79" s="26">
        <v>8.75</v>
      </c>
      <c r="AD79" s="26">
        <v>13.4</v>
      </c>
      <c r="AF79" s="37">
        <v>75</v>
      </c>
      <c r="AG79">
        <v>2014.03</v>
      </c>
      <c r="AH79">
        <v>251015</v>
      </c>
      <c r="AI79">
        <v>3</v>
      </c>
      <c r="AJ79">
        <v>160</v>
      </c>
      <c r="AK79">
        <v>38</v>
      </c>
      <c r="AL79">
        <v>5.08</v>
      </c>
      <c r="AM79">
        <v>3.37</v>
      </c>
      <c r="AN79">
        <v>9.02</v>
      </c>
      <c r="AO79">
        <v>13.7</v>
      </c>
      <c r="AP79" s="24">
        <v>2018.03</v>
      </c>
      <c r="AQ79">
        <v>291204</v>
      </c>
      <c r="AR79">
        <v>2</v>
      </c>
      <c r="AS79">
        <v>104</v>
      </c>
      <c r="AT79">
        <v>48.2</v>
      </c>
      <c r="AU79">
        <v>4.5199999999999996</v>
      </c>
      <c r="AV79">
        <v>3.01</v>
      </c>
      <c r="AW79">
        <v>8.67</v>
      </c>
      <c r="AX79">
        <v>4.0999999999999996</v>
      </c>
    </row>
    <row r="80" spans="12:50" x14ac:dyDescent="0.15">
      <c r="L80" s="37">
        <v>76</v>
      </c>
      <c r="M80">
        <v>2014.01</v>
      </c>
      <c r="N80" s="26">
        <v>250514</v>
      </c>
      <c r="O80" s="26">
        <v>1</v>
      </c>
      <c r="P80" s="26">
        <v>254</v>
      </c>
      <c r="Q80" s="26">
        <v>37.200000000000003</v>
      </c>
      <c r="R80" s="26">
        <v>3.72</v>
      </c>
      <c r="S80" s="26">
        <v>2.98</v>
      </c>
      <c r="T80" s="26">
        <v>8.5399999999999991</v>
      </c>
      <c r="U80" s="34">
        <v>13.1</v>
      </c>
      <c r="V80" s="26">
        <v>2018.11</v>
      </c>
      <c r="W80" s="26">
        <v>300619</v>
      </c>
      <c r="X80" s="26">
        <v>1</v>
      </c>
      <c r="Y80" s="26">
        <v>152</v>
      </c>
      <c r="Z80" s="26">
        <v>26.8</v>
      </c>
      <c r="AA80" s="26">
        <v>4.68</v>
      </c>
      <c r="AB80" s="26">
        <v>3.32</v>
      </c>
      <c r="AC80" s="26">
        <v>8.86</v>
      </c>
      <c r="AD80" s="26">
        <v>13.9</v>
      </c>
      <c r="AF80" s="37">
        <v>76</v>
      </c>
      <c r="AG80">
        <v>2014.03</v>
      </c>
      <c r="AH80">
        <v>251006</v>
      </c>
      <c r="AI80">
        <v>3</v>
      </c>
      <c r="AJ80">
        <v>169</v>
      </c>
      <c r="AK80">
        <v>31.1</v>
      </c>
      <c r="AL80">
        <v>4.78</v>
      </c>
      <c r="AM80">
        <v>3.31</v>
      </c>
      <c r="AN80">
        <v>8.69</v>
      </c>
      <c r="AO80">
        <v>11.1</v>
      </c>
      <c r="AP80" s="24">
        <v>2018.03</v>
      </c>
      <c r="AQ80">
        <v>291130</v>
      </c>
      <c r="AR80">
        <v>2</v>
      </c>
      <c r="AS80">
        <v>108</v>
      </c>
      <c r="AT80">
        <v>33.200000000000003</v>
      </c>
      <c r="AU80">
        <v>3.62</v>
      </c>
      <c r="AV80">
        <v>3.15</v>
      </c>
      <c r="AW80">
        <v>8.2899999999999991</v>
      </c>
      <c r="AX80">
        <v>6.7</v>
      </c>
    </row>
    <row r="81" spans="12:50" x14ac:dyDescent="0.15">
      <c r="L81" s="37">
        <v>77</v>
      </c>
      <c r="M81">
        <v>2014.01</v>
      </c>
      <c r="N81" s="26">
        <v>250504</v>
      </c>
      <c r="O81" s="26">
        <v>1</v>
      </c>
      <c r="P81" s="26">
        <v>264</v>
      </c>
      <c r="Q81" s="26">
        <v>37.799999999999997</v>
      </c>
      <c r="R81" s="26">
        <v>4.42</v>
      </c>
      <c r="S81" s="26">
        <v>3.75</v>
      </c>
      <c r="T81" s="26">
        <v>9.2899999999999991</v>
      </c>
      <c r="U81" s="34">
        <v>16.899999999999999</v>
      </c>
      <c r="V81" s="26">
        <v>2018.11</v>
      </c>
      <c r="W81" s="26">
        <v>300615</v>
      </c>
      <c r="X81" s="26">
        <v>1</v>
      </c>
      <c r="Y81" s="26">
        <v>156</v>
      </c>
      <c r="Z81" s="26">
        <v>28</v>
      </c>
      <c r="AA81" s="26">
        <v>4.3899999999999997</v>
      </c>
      <c r="AB81" s="26">
        <v>3.65</v>
      </c>
      <c r="AC81" s="26">
        <v>9.1300000000000008</v>
      </c>
      <c r="AD81" s="26">
        <v>9</v>
      </c>
      <c r="AF81" s="37">
        <v>77</v>
      </c>
      <c r="AG81">
        <v>2014.03</v>
      </c>
      <c r="AH81">
        <v>250803</v>
      </c>
      <c r="AI81">
        <v>3</v>
      </c>
      <c r="AJ81">
        <v>233</v>
      </c>
      <c r="AK81">
        <v>34.5</v>
      </c>
      <c r="AL81">
        <v>3.76</v>
      </c>
      <c r="AM81">
        <v>3.25</v>
      </c>
      <c r="AN81">
        <v>8.73</v>
      </c>
      <c r="AO81">
        <v>14.4</v>
      </c>
      <c r="AP81" s="24">
        <v>2018.03</v>
      </c>
      <c r="AQ81">
        <v>291129</v>
      </c>
      <c r="AR81">
        <v>2</v>
      </c>
      <c r="AS81">
        <v>109</v>
      </c>
      <c r="AT81">
        <v>44.5</v>
      </c>
      <c r="AU81">
        <v>4.24</v>
      </c>
      <c r="AV81">
        <v>2.89</v>
      </c>
      <c r="AW81">
        <v>8.36</v>
      </c>
      <c r="AX81">
        <v>7.3</v>
      </c>
    </row>
    <row r="82" spans="12:50" x14ac:dyDescent="0.15">
      <c r="L82" s="37">
        <v>78</v>
      </c>
      <c r="M82">
        <v>2014.01</v>
      </c>
      <c r="N82" s="26">
        <v>250501</v>
      </c>
      <c r="O82" s="26">
        <v>1</v>
      </c>
      <c r="P82" s="26">
        <v>267</v>
      </c>
      <c r="Q82" s="26">
        <v>37.9</v>
      </c>
      <c r="R82" s="26">
        <v>4.29</v>
      </c>
      <c r="S82" s="26">
        <v>3.51</v>
      </c>
      <c r="T82" s="26">
        <v>9.26</v>
      </c>
      <c r="U82" s="34">
        <v>11</v>
      </c>
      <c r="V82" s="26">
        <v>2018.11</v>
      </c>
      <c r="W82" s="26">
        <v>300615</v>
      </c>
      <c r="X82" s="26">
        <v>1</v>
      </c>
      <c r="Y82" s="26">
        <v>156</v>
      </c>
      <c r="Z82" s="26">
        <v>35.5</v>
      </c>
      <c r="AA82" s="26">
        <v>4.47</v>
      </c>
      <c r="AB82" s="26">
        <v>3.42</v>
      </c>
      <c r="AC82" s="26">
        <v>9.01</v>
      </c>
      <c r="AD82" s="26">
        <v>10.5</v>
      </c>
      <c r="AF82" s="37">
        <v>78</v>
      </c>
      <c r="AG82">
        <v>2014.03</v>
      </c>
      <c r="AH82">
        <v>250707</v>
      </c>
      <c r="AI82">
        <v>3</v>
      </c>
      <c r="AJ82">
        <v>260</v>
      </c>
      <c r="AK82">
        <v>22.8</v>
      </c>
      <c r="AL82" s="17">
        <v>3.51</v>
      </c>
      <c r="AM82">
        <v>3.49</v>
      </c>
      <c r="AN82">
        <v>8.6</v>
      </c>
      <c r="AO82">
        <v>13.4</v>
      </c>
      <c r="AP82" s="24">
        <v>2018.03</v>
      </c>
      <c r="AQ82">
        <v>291122</v>
      </c>
      <c r="AR82">
        <v>2</v>
      </c>
      <c r="AS82">
        <v>116</v>
      </c>
      <c r="AT82">
        <v>44</v>
      </c>
      <c r="AU82">
        <v>4.1100000000000003</v>
      </c>
      <c r="AV82">
        <v>3.06</v>
      </c>
      <c r="AW82">
        <v>8.4700000000000006</v>
      </c>
      <c r="AX82">
        <v>7.6</v>
      </c>
    </row>
    <row r="83" spans="12:50" x14ac:dyDescent="0.15">
      <c r="L83" s="37">
        <v>79</v>
      </c>
      <c r="M83">
        <v>2014.01</v>
      </c>
      <c r="N83" s="26">
        <v>250423</v>
      </c>
      <c r="O83" s="26">
        <v>1</v>
      </c>
      <c r="P83" s="26">
        <v>275</v>
      </c>
      <c r="Q83" s="26">
        <v>36.799999999999997</v>
      </c>
      <c r="R83" s="26">
        <v>3.93</v>
      </c>
      <c r="S83" s="26">
        <v>3.34</v>
      </c>
      <c r="T83" s="26">
        <v>8.75</v>
      </c>
      <c r="U83" s="34">
        <v>11.9</v>
      </c>
      <c r="V83" s="26">
        <v>2018.11</v>
      </c>
      <c r="W83" s="26">
        <v>300612</v>
      </c>
      <c r="X83" s="26">
        <v>1</v>
      </c>
      <c r="Y83" s="26">
        <v>159</v>
      </c>
      <c r="Z83" s="26">
        <v>28.9</v>
      </c>
      <c r="AA83" s="26">
        <v>3.8</v>
      </c>
      <c r="AB83" s="26">
        <v>2.74</v>
      </c>
      <c r="AC83" s="26">
        <v>8.2799999999999994</v>
      </c>
      <c r="AD83" s="26">
        <v>7.5</v>
      </c>
      <c r="AF83" s="37">
        <v>79</v>
      </c>
      <c r="AG83">
        <v>2015.11</v>
      </c>
      <c r="AH83">
        <v>270809</v>
      </c>
      <c r="AI83">
        <v>3</v>
      </c>
      <c r="AJ83">
        <v>103</v>
      </c>
      <c r="AK83">
        <v>36.299999999999997</v>
      </c>
      <c r="AL83">
        <v>3.42</v>
      </c>
      <c r="AM83">
        <v>3.24</v>
      </c>
      <c r="AN83">
        <v>8.89</v>
      </c>
      <c r="AO83">
        <v>7.2</v>
      </c>
      <c r="AP83" s="24">
        <v>2018.03</v>
      </c>
      <c r="AQ83">
        <v>291120</v>
      </c>
      <c r="AR83">
        <v>2</v>
      </c>
      <c r="AS83">
        <v>118</v>
      </c>
      <c r="AT83">
        <v>49.4</v>
      </c>
      <c r="AU83">
        <v>4.3899999999999997</v>
      </c>
      <c r="AV83">
        <v>3</v>
      </c>
      <c r="AW83">
        <v>8.3699999999999992</v>
      </c>
      <c r="AX83">
        <v>10.4</v>
      </c>
    </row>
    <row r="84" spans="12:50" x14ac:dyDescent="0.15">
      <c r="L84" s="37">
        <v>80</v>
      </c>
      <c r="M84">
        <v>2014.01</v>
      </c>
      <c r="N84" s="26">
        <v>250412</v>
      </c>
      <c r="O84" s="26">
        <v>1</v>
      </c>
      <c r="P84" s="26">
        <v>286</v>
      </c>
      <c r="Q84" s="26">
        <v>31.5</v>
      </c>
      <c r="R84" s="26">
        <v>4.2699999999999996</v>
      </c>
      <c r="S84" s="26">
        <v>3.68</v>
      </c>
      <c r="T84" s="26">
        <v>8.99</v>
      </c>
      <c r="U84" s="34">
        <v>10.4</v>
      </c>
      <c r="V84" s="26">
        <v>2018.11</v>
      </c>
      <c r="W84" s="26">
        <v>300604</v>
      </c>
      <c r="X84" s="26">
        <v>1</v>
      </c>
      <c r="Y84" s="26">
        <v>167</v>
      </c>
      <c r="Z84" s="26">
        <v>32.6</v>
      </c>
      <c r="AA84" s="26">
        <v>3.48</v>
      </c>
      <c r="AB84" s="26">
        <v>3.52</v>
      </c>
      <c r="AC84" s="26">
        <v>8.77</v>
      </c>
      <c r="AD84" s="26">
        <v>7.6</v>
      </c>
      <c r="AF84" s="37">
        <v>80</v>
      </c>
      <c r="AG84">
        <v>2015.12</v>
      </c>
      <c r="AH84">
        <v>270809</v>
      </c>
      <c r="AI84">
        <v>3</v>
      </c>
      <c r="AJ84">
        <v>130</v>
      </c>
      <c r="AK84">
        <v>22.6</v>
      </c>
      <c r="AL84">
        <v>3.97</v>
      </c>
      <c r="AM84">
        <v>3.15</v>
      </c>
      <c r="AN84">
        <v>8.57</v>
      </c>
      <c r="AO84">
        <v>9.5</v>
      </c>
      <c r="AP84" s="24">
        <v>2018.03</v>
      </c>
      <c r="AQ84">
        <v>291022</v>
      </c>
      <c r="AR84">
        <v>2</v>
      </c>
      <c r="AS84">
        <v>147</v>
      </c>
      <c r="AT84">
        <v>22</v>
      </c>
      <c r="AU84">
        <v>3.13</v>
      </c>
      <c r="AV84">
        <v>3.27</v>
      </c>
      <c r="AW84">
        <v>8.33</v>
      </c>
      <c r="AX84">
        <v>10.5</v>
      </c>
    </row>
    <row r="85" spans="12:50" x14ac:dyDescent="0.15">
      <c r="L85" s="37">
        <v>81</v>
      </c>
      <c r="M85">
        <v>2014.01</v>
      </c>
      <c r="N85" s="26">
        <v>250406</v>
      </c>
      <c r="O85" s="26">
        <v>1</v>
      </c>
      <c r="P85" s="26">
        <v>292</v>
      </c>
      <c r="Q85" s="26">
        <v>26.6</v>
      </c>
      <c r="R85" s="26">
        <v>4.08</v>
      </c>
      <c r="S85" s="26">
        <v>3.54</v>
      </c>
      <c r="T85" s="26">
        <v>9.0299999999999994</v>
      </c>
      <c r="U85" s="34">
        <v>11.7</v>
      </c>
      <c r="V85" s="26">
        <v>2018.11</v>
      </c>
      <c r="W85" s="26">
        <v>300601</v>
      </c>
      <c r="X85" s="26">
        <v>1</v>
      </c>
      <c r="Y85" s="26">
        <v>170</v>
      </c>
      <c r="Z85" s="26">
        <v>31.3</v>
      </c>
      <c r="AA85" s="26">
        <v>3.99</v>
      </c>
      <c r="AB85" s="26">
        <v>3.34</v>
      </c>
      <c r="AC85" s="26">
        <v>8.9700000000000006</v>
      </c>
      <c r="AD85" s="26">
        <v>8.9</v>
      </c>
      <c r="AF85" s="37">
        <v>81</v>
      </c>
      <c r="AG85">
        <v>2015.12</v>
      </c>
      <c r="AH85">
        <v>270808</v>
      </c>
      <c r="AI85">
        <v>3</v>
      </c>
      <c r="AJ85">
        <v>131</v>
      </c>
      <c r="AK85">
        <v>27.2</v>
      </c>
      <c r="AL85">
        <v>3</v>
      </c>
      <c r="AM85">
        <v>2.77</v>
      </c>
      <c r="AN85">
        <v>8.02</v>
      </c>
      <c r="AO85">
        <v>7.6</v>
      </c>
      <c r="AP85" s="24">
        <v>2018.03</v>
      </c>
      <c r="AQ85">
        <v>291017</v>
      </c>
      <c r="AR85">
        <v>2</v>
      </c>
      <c r="AS85">
        <v>152</v>
      </c>
      <c r="AT85">
        <v>29.4</v>
      </c>
      <c r="AU85">
        <v>4.26</v>
      </c>
      <c r="AV85">
        <v>3.3</v>
      </c>
      <c r="AW85">
        <v>8.84</v>
      </c>
      <c r="AX85">
        <v>7.7</v>
      </c>
    </row>
    <row r="86" spans="12:50" x14ac:dyDescent="0.15">
      <c r="L86" s="37">
        <v>82</v>
      </c>
      <c r="M86">
        <v>2014.01</v>
      </c>
      <c r="N86" s="26">
        <v>250323</v>
      </c>
      <c r="O86" s="26">
        <v>1</v>
      </c>
      <c r="P86" s="26">
        <v>306</v>
      </c>
      <c r="Q86" s="27">
        <v>8.6</v>
      </c>
      <c r="R86" s="26">
        <v>4.04</v>
      </c>
      <c r="S86" s="26">
        <v>3.5</v>
      </c>
      <c r="T86" s="26">
        <v>8.7899999999999991</v>
      </c>
      <c r="U86" s="34">
        <v>9.4</v>
      </c>
      <c r="V86" s="26">
        <v>2018.11</v>
      </c>
      <c r="W86" s="26">
        <v>300524</v>
      </c>
      <c r="X86" s="26">
        <v>1</v>
      </c>
      <c r="Y86" s="26">
        <v>178</v>
      </c>
      <c r="Z86" s="26">
        <v>35.9</v>
      </c>
      <c r="AA86" s="26">
        <v>3.4</v>
      </c>
      <c r="AB86" s="26">
        <v>3.13</v>
      </c>
      <c r="AC86" s="26">
        <v>8.5500000000000007</v>
      </c>
      <c r="AD86" s="26">
        <v>8</v>
      </c>
      <c r="AF86" s="37">
        <v>82</v>
      </c>
      <c r="AG86">
        <v>2016.01</v>
      </c>
      <c r="AH86">
        <v>270930</v>
      </c>
      <c r="AI86">
        <v>3</v>
      </c>
      <c r="AJ86">
        <v>114</v>
      </c>
      <c r="AK86">
        <v>40.5</v>
      </c>
      <c r="AL86">
        <v>3.25</v>
      </c>
      <c r="AM86">
        <v>2.94</v>
      </c>
      <c r="AN86">
        <v>8.2799999999999994</v>
      </c>
      <c r="AO86">
        <v>7.1</v>
      </c>
      <c r="AP86" s="24">
        <v>2018.03</v>
      </c>
      <c r="AQ86">
        <v>290910</v>
      </c>
      <c r="AR86">
        <v>2</v>
      </c>
      <c r="AS86">
        <v>189</v>
      </c>
      <c r="AT86">
        <v>29.3</v>
      </c>
      <c r="AU86">
        <v>5.6</v>
      </c>
      <c r="AV86">
        <v>3.56</v>
      </c>
      <c r="AW86">
        <v>9.14</v>
      </c>
      <c r="AX86">
        <v>9.9</v>
      </c>
    </row>
    <row r="87" spans="12:50" x14ac:dyDescent="0.15">
      <c r="L87" s="37">
        <v>83</v>
      </c>
      <c r="M87">
        <v>2014.02</v>
      </c>
      <c r="N87" s="26">
        <v>251014</v>
      </c>
      <c r="O87" s="26">
        <v>1</v>
      </c>
      <c r="P87" s="26">
        <v>132</v>
      </c>
      <c r="Q87" s="26">
        <v>34.200000000000003</v>
      </c>
      <c r="R87" s="26">
        <v>4.04</v>
      </c>
      <c r="S87" s="26">
        <v>3.5</v>
      </c>
      <c r="T87" s="26">
        <v>9.18</v>
      </c>
      <c r="U87" s="33">
        <v>11</v>
      </c>
      <c r="V87" s="26">
        <v>2018.11</v>
      </c>
      <c r="W87" s="26">
        <v>300519</v>
      </c>
      <c r="X87" s="26">
        <v>1</v>
      </c>
      <c r="Y87" s="26">
        <v>183</v>
      </c>
      <c r="Z87" s="26">
        <v>30.4</v>
      </c>
      <c r="AA87" s="26">
        <v>3.84</v>
      </c>
      <c r="AB87" s="26">
        <v>3.59</v>
      </c>
      <c r="AC87" s="26">
        <v>9.2100000000000009</v>
      </c>
      <c r="AD87" s="26">
        <v>7.4</v>
      </c>
      <c r="AF87" s="37">
        <v>83</v>
      </c>
      <c r="AG87">
        <v>2016.01</v>
      </c>
      <c r="AH87">
        <v>270916</v>
      </c>
      <c r="AI87">
        <v>3</v>
      </c>
      <c r="AJ87">
        <v>128</v>
      </c>
      <c r="AK87">
        <v>27.3</v>
      </c>
      <c r="AL87">
        <v>3.71</v>
      </c>
      <c r="AM87">
        <v>3.5</v>
      </c>
      <c r="AN87">
        <v>9.06</v>
      </c>
      <c r="AO87">
        <v>9.5</v>
      </c>
      <c r="AP87" s="24">
        <v>2018.03</v>
      </c>
      <c r="AQ87">
        <v>290904</v>
      </c>
      <c r="AR87">
        <v>2</v>
      </c>
      <c r="AS87">
        <v>195</v>
      </c>
      <c r="AT87">
        <v>37</v>
      </c>
      <c r="AU87">
        <v>3.77</v>
      </c>
      <c r="AV87">
        <v>3.37</v>
      </c>
      <c r="AW87">
        <v>9</v>
      </c>
      <c r="AX87">
        <v>8.1</v>
      </c>
    </row>
    <row r="88" spans="12:50" x14ac:dyDescent="0.15">
      <c r="L88" s="37">
        <v>84</v>
      </c>
      <c r="M88">
        <v>2014.02</v>
      </c>
      <c r="N88" s="26">
        <v>250927</v>
      </c>
      <c r="O88" s="26">
        <v>1</v>
      </c>
      <c r="P88" s="26">
        <v>149</v>
      </c>
      <c r="Q88" s="26">
        <v>36.4</v>
      </c>
      <c r="R88" s="26">
        <v>3.62</v>
      </c>
      <c r="S88" s="26">
        <v>3.1</v>
      </c>
      <c r="T88" s="26">
        <v>8.66</v>
      </c>
      <c r="U88" s="33">
        <v>11.8</v>
      </c>
      <c r="V88" s="26">
        <v>2018.11</v>
      </c>
      <c r="W88" s="26">
        <v>300519</v>
      </c>
      <c r="X88" s="26">
        <v>1</v>
      </c>
      <c r="Y88" s="26">
        <v>183</v>
      </c>
      <c r="Z88" s="26">
        <v>40.799999999999997</v>
      </c>
      <c r="AA88" s="26">
        <v>4.82</v>
      </c>
      <c r="AB88" s="26">
        <v>2.98</v>
      </c>
      <c r="AC88" s="26">
        <v>8.2799999999999994</v>
      </c>
      <c r="AD88" s="26">
        <v>11.6</v>
      </c>
      <c r="AF88" s="37">
        <v>84</v>
      </c>
      <c r="AG88">
        <v>2016.01</v>
      </c>
      <c r="AH88">
        <v>270809</v>
      </c>
      <c r="AI88">
        <v>3</v>
      </c>
      <c r="AJ88">
        <v>166</v>
      </c>
      <c r="AK88">
        <v>29.2</v>
      </c>
      <c r="AL88">
        <v>3.59</v>
      </c>
      <c r="AM88">
        <v>3.37</v>
      </c>
      <c r="AN88">
        <v>8.82</v>
      </c>
      <c r="AO88">
        <v>7.1</v>
      </c>
      <c r="AP88" s="24">
        <v>2018.03</v>
      </c>
      <c r="AQ88">
        <v>290831</v>
      </c>
      <c r="AR88">
        <v>2</v>
      </c>
      <c r="AS88">
        <v>199</v>
      </c>
      <c r="AT88">
        <v>40</v>
      </c>
      <c r="AU88">
        <v>3.72</v>
      </c>
      <c r="AV88">
        <v>3.13</v>
      </c>
      <c r="AW88">
        <v>8.5299999999999994</v>
      </c>
      <c r="AX88">
        <v>6.6</v>
      </c>
    </row>
    <row r="89" spans="12:50" x14ac:dyDescent="0.15">
      <c r="L89" s="37">
        <v>85</v>
      </c>
      <c r="M89">
        <v>2014.02</v>
      </c>
      <c r="N89" s="26">
        <v>250919</v>
      </c>
      <c r="O89" s="26">
        <v>1</v>
      </c>
      <c r="P89" s="26">
        <v>157</v>
      </c>
      <c r="Q89" s="26">
        <v>37.6</v>
      </c>
      <c r="R89" s="26">
        <v>3.44</v>
      </c>
      <c r="S89" s="26">
        <v>3.24</v>
      </c>
      <c r="T89" s="26">
        <v>8.83</v>
      </c>
      <c r="U89" s="33">
        <v>12.9</v>
      </c>
      <c r="V89" s="26">
        <v>2018.11</v>
      </c>
      <c r="W89" s="26">
        <v>300516</v>
      </c>
      <c r="X89" s="26">
        <v>1</v>
      </c>
      <c r="Y89" s="26">
        <v>186</v>
      </c>
      <c r="Z89" s="26">
        <v>42</v>
      </c>
      <c r="AA89" s="26">
        <v>4.0599999999999996</v>
      </c>
      <c r="AB89" s="26">
        <v>3.08</v>
      </c>
      <c r="AC89" s="26">
        <v>8.66</v>
      </c>
      <c r="AD89" s="26">
        <v>11.8</v>
      </c>
      <c r="AF89" s="37">
        <v>85</v>
      </c>
      <c r="AG89">
        <v>2016.01</v>
      </c>
      <c r="AH89">
        <v>270808</v>
      </c>
      <c r="AI89">
        <v>3</v>
      </c>
      <c r="AJ89">
        <v>167</v>
      </c>
      <c r="AK89">
        <v>33.1</v>
      </c>
      <c r="AL89">
        <v>2.91</v>
      </c>
      <c r="AM89">
        <v>2.98</v>
      </c>
      <c r="AN89">
        <v>8.11</v>
      </c>
      <c r="AO89">
        <v>9.5</v>
      </c>
      <c r="AP89" s="24">
        <v>2018.03</v>
      </c>
      <c r="AQ89">
        <v>290830</v>
      </c>
      <c r="AR89">
        <v>2</v>
      </c>
      <c r="AS89">
        <v>200</v>
      </c>
      <c r="AT89">
        <v>23.6</v>
      </c>
      <c r="AU89">
        <v>4.3499999999999996</v>
      </c>
      <c r="AV89">
        <v>3.48</v>
      </c>
      <c r="AW89">
        <v>8.61</v>
      </c>
      <c r="AX89">
        <v>9.6999999999999993</v>
      </c>
    </row>
    <row r="90" spans="12:50" x14ac:dyDescent="0.15">
      <c r="L90" s="37">
        <v>86</v>
      </c>
      <c r="M90">
        <v>2014.02</v>
      </c>
      <c r="N90" s="26">
        <v>250918</v>
      </c>
      <c r="O90" s="26">
        <v>1</v>
      </c>
      <c r="P90" s="26">
        <v>158</v>
      </c>
      <c r="Q90" s="26">
        <v>28.9</v>
      </c>
      <c r="R90" s="26">
        <v>3.87</v>
      </c>
      <c r="S90" s="26">
        <v>3.3</v>
      </c>
      <c r="T90" s="26">
        <v>8.77</v>
      </c>
      <c r="U90" s="33">
        <v>14.6</v>
      </c>
      <c r="V90" s="26">
        <v>2018.11</v>
      </c>
      <c r="W90" s="26">
        <v>300211</v>
      </c>
      <c r="X90" s="26">
        <v>1</v>
      </c>
      <c r="Y90" s="26">
        <v>280</v>
      </c>
      <c r="Z90" s="26">
        <v>33.5</v>
      </c>
      <c r="AA90" s="26">
        <v>4.62</v>
      </c>
      <c r="AB90" s="26">
        <v>3.02</v>
      </c>
      <c r="AC90" s="26">
        <v>8.5399999999999991</v>
      </c>
      <c r="AD90" s="26">
        <v>9.6</v>
      </c>
      <c r="AF90" s="37">
        <v>86</v>
      </c>
      <c r="AG90">
        <v>2016.02</v>
      </c>
      <c r="AH90">
        <v>270930</v>
      </c>
      <c r="AI90">
        <v>3</v>
      </c>
      <c r="AJ90">
        <v>144</v>
      </c>
      <c r="AK90">
        <v>40.700000000000003</v>
      </c>
      <c r="AL90">
        <v>3.69</v>
      </c>
      <c r="AM90">
        <v>3.1</v>
      </c>
      <c r="AN90">
        <v>8.5500000000000007</v>
      </c>
      <c r="AO90">
        <v>8.6</v>
      </c>
      <c r="AP90" s="24">
        <v>2018.03</v>
      </c>
      <c r="AQ90">
        <v>290823</v>
      </c>
      <c r="AR90">
        <v>2</v>
      </c>
      <c r="AS90">
        <v>207</v>
      </c>
      <c r="AT90">
        <v>37.799999999999997</v>
      </c>
      <c r="AU90">
        <v>4.33</v>
      </c>
      <c r="AV90">
        <v>3.16</v>
      </c>
      <c r="AW90">
        <v>8.4700000000000006</v>
      </c>
      <c r="AX90">
        <v>8.1</v>
      </c>
    </row>
    <row r="91" spans="12:50" x14ac:dyDescent="0.15">
      <c r="L91" s="37">
        <v>87</v>
      </c>
      <c r="M91">
        <v>2014.02</v>
      </c>
      <c r="N91" s="26">
        <v>250918</v>
      </c>
      <c r="O91" s="26">
        <v>1</v>
      </c>
      <c r="P91" s="26">
        <v>158</v>
      </c>
      <c r="Q91" s="26">
        <v>38.200000000000003</v>
      </c>
      <c r="R91" s="26">
        <v>4.5199999999999996</v>
      </c>
      <c r="S91" s="26">
        <v>3.39</v>
      </c>
      <c r="T91" s="26">
        <v>8.74</v>
      </c>
      <c r="U91" s="33">
        <v>13.8</v>
      </c>
      <c r="V91" s="26">
        <v>2018.11</v>
      </c>
      <c r="W91" s="26">
        <v>300206</v>
      </c>
      <c r="X91" s="26">
        <v>1</v>
      </c>
      <c r="Y91" s="26">
        <v>285</v>
      </c>
      <c r="Z91" s="26">
        <v>38.6</v>
      </c>
      <c r="AA91" s="26">
        <v>4.33</v>
      </c>
      <c r="AB91" s="26">
        <v>3.33</v>
      </c>
      <c r="AC91" s="26">
        <v>8.77</v>
      </c>
      <c r="AD91" s="26">
        <v>9.1</v>
      </c>
      <c r="AF91" s="37">
        <v>87</v>
      </c>
      <c r="AG91">
        <v>2016.02</v>
      </c>
      <c r="AH91">
        <v>270916</v>
      </c>
      <c r="AI91">
        <v>3</v>
      </c>
      <c r="AJ91">
        <v>158</v>
      </c>
      <c r="AK91">
        <v>26.7</v>
      </c>
      <c r="AL91">
        <v>3.99</v>
      </c>
      <c r="AM91">
        <v>3.36</v>
      </c>
      <c r="AN91">
        <v>8.6999999999999993</v>
      </c>
      <c r="AO91">
        <v>8.6</v>
      </c>
      <c r="AP91" s="24">
        <v>2018.03</v>
      </c>
      <c r="AQ91">
        <v>290819</v>
      </c>
      <c r="AR91">
        <v>2</v>
      </c>
      <c r="AS91">
        <v>211</v>
      </c>
      <c r="AT91">
        <v>29.2</v>
      </c>
      <c r="AU91">
        <v>4.24</v>
      </c>
      <c r="AV91">
        <v>3.35</v>
      </c>
      <c r="AW91">
        <v>8.9700000000000006</v>
      </c>
      <c r="AX91">
        <v>9.8000000000000007</v>
      </c>
    </row>
    <row r="92" spans="12:50" x14ac:dyDescent="0.15">
      <c r="L92" s="37">
        <v>88</v>
      </c>
      <c r="M92">
        <v>2014.02</v>
      </c>
      <c r="N92" s="26">
        <v>250831</v>
      </c>
      <c r="O92" s="26">
        <v>1</v>
      </c>
      <c r="P92" s="26">
        <v>176</v>
      </c>
      <c r="Q92" s="26">
        <v>42.9</v>
      </c>
      <c r="R92" s="26">
        <v>3.61</v>
      </c>
      <c r="S92" s="26">
        <v>3.17</v>
      </c>
      <c r="T92" s="26">
        <v>8.7899999999999991</v>
      </c>
      <c r="U92" s="33">
        <v>13.3</v>
      </c>
      <c r="V92" s="26">
        <v>2018.11</v>
      </c>
      <c r="W92" s="26">
        <v>300203</v>
      </c>
      <c r="X92" s="26">
        <v>1</v>
      </c>
      <c r="Y92" s="26">
        <v>288</v>
      </c>
      <c r="Z92" s="26">
        <v>35.700000000000003</v>
      </c>
      <c r="AA92" s="26">
        <v>3.53</v>
      </c>
      <c r="AB92" s="26">
        <v>3.09</v>
      </c>
      <c r="AC92" s="26">
        <v>8.2899999999999991</v>
      </c>
      <c r="AD92" s="26">
        <v>7.4</v>
      </c>
      <c r="AF92" s="37">
        <v>88</v>
      </c>
      <c r="AG92">
        <v>2016.02</v>
      </c>
      <c r="AH92">
        <v>270809</v>
      </c>
      <c r="AI92">
        <v>3</v>
      </c>
      <c r="AJ92">
        <v>196</v>
      </c>
      <c r="AK92">
        <v>22.8</v>
      </c>
      <c r="AL92">
        <v>3.75</v>
      </c>
      <c r="AM92">
        <v>3.5</v>
      </c>
      <c r="AN92">
        <v>8.7799999999999994</v>
      </c>
      <c r="AO92">
        <v>11.1</v>
      </c>
      <c r="AP92" s="24">
        <v>2018.03</v>
      </c>
      <c r="AQ92">
        <v>290815</v>
      </c>
      <c r="AR92">
        <v>2</v>
      </c>
      <c r="AS92">
        <v>215</v>
      </c>
      <c r="AT92">
        <v>22.6</v>
      </c>
      <c r="AU92">
        <v>3.4</v>
      </c>
      <c r="AV92">
        <v>2.99</v>
      </c>
      <c r="AW92">
        <v>8.41</v>
      </c>
      <c r="AX92">
        <v>7</v>
      </c>
    </row>
    <row r="93" spans="12:50" x14ac:dyDescent="0.15">
      <c r="L93" s="37">
        <v>89</v>
      </c>
      <c r="M93">
        <v>2014.02</v>
      </c>
      <c r="N93" s="26">
        <v>250829</v>
      </c>
      <c r="O93" s="26">
        <v>1</v>
      </c>
      <c r="P93" s="26">
        <v>178</v>
      </c>
      <c r="Q93" s="26">
        <v>34.799999999999997</v>
      </c>
      <c r="R93" s="26">
        <v>4.0599999999999996</v>
      </c>
      <c r="S93" s="26">
        <v>3.33</v>
      </c>
      <c r="T93" s="26">
        <v>8.82</v>
      </c>
      <c r="U93" s="33">
        <v>11.7</v>
      </c>
      <c r="V93" s="26">
        <v>2018.11</v>
      </c>
      <c r="W93" s="26">
        <v>300123</v>
      </c>
      <c r="X93" s="26">
        <v>1</v>
      </c>
      <c r="Y93" s="26">
        <v>299</v>
      </c>
      <c r="Z93" s="26">
        <v>34.9</v>
      </c>
      <c r="AA93" s="26">
        <v>3.94</v>
      </c>
      <c r="AB93" s="26">
        <v>3.4</v>
      </c>
      <c r="AC93" s="26">
        <v>8.7100000000000009</v>
      </c>
      <c r="AD93" s="26">
        <v>9.1999999999999993</v>
      </c>
      <c r="AF93" s="37">
        <v>89</v>
      </c>
      <c r="AG93">
        <v>2016.02</v>
      </c>
      <c r="AH93">
        <v>270808</v>
      </c>
      <c r="AI93">
        <v>3</v>
      </c>
      <c r="AJ93">
        <v>197</v>
      </c>
      <c r="AK93">
        <v>27.7</v>
      </c>
      <c r="AL93">
        <v>3.62</v>
      </c>
      <c r="AM93">
        <v>3.06</v>
      </c>
      <c r="AN93">
        <v>8.0299999999999994</v>
      </c>
      <c r="AO93">
        <v>10</v>
      </c>
      <c r="AP93" s="24">
        <v>2018.03</v>
      </c>
      <c r="AQ93">
        <v>290813</v>
      </c>
      <c r="AR93">
        <v>2</v>
      </c>
      <c r="AS93">
        <v>217</v>
      </c>
      <c r="AT93">
        <v>36.4</v>
      </c>
      <c r="AU93">
        <v>4.1399999999999997</v>
      </c>
      <c r="AV93">
        <v>3.34</v>
      </c>
      <c r="AW93">
        <v>8.64</v>
      </c>
      <c r="AX93">
        <v>8.6</v>
      </c>
    </row>
    <row r="94" spans="12:50" x14ac:dyDescent="0.15">
      <c r="L94" s="37">
        <v>90</v>
      </c>
      <c r="M94">
        <v>2014.02</v>
      </c>
      <c r="N94" s="26">
        <v>250825</v>
      </c>
      <c r="O94" s="26">
        <v>1</v>
      </c>
      <c r="P94" s="26">
        <v>182</v>
      </c>
      <c r="Q94" s="26">
        <v>43.7</v>
      </c>
      <c r="R94" s="26">
        <v>3.84</v>
      </c>
      <c r="S94" s="26">
        <v>3.12</v>
      </c>
      <c r="T94" s="26">
        <v>8.73</v>
      </c>
      <c r="U94" s="33">
        <v>11.4</v>
      </c>
      <c r="V94" s="26">
        <v>2018.12</v>
      </c>
      <c r="W94" s="26">
        <v>300906</v>
      </c>
      <c r="X94" s="26">
        <v>1</v>
      </c>
      <c r="Y94" s="26">
        <v>101</v>
      </c>
      <c r="Z94" s="26">
        <v>33.1</v>
      </c>
      <c r="AA94" s="26">
        <v>3.57</v>
      </c>
      <c r="AB94" s="26">
        <v>3.14</v>
      </c>
      <c r="AC94" s="26">
        <v>8.8000000000000007</v>
      </c>
      <c r="AD94" s="26">
        <v>9.3000000000000007</v>
      </c>
      <c r="AF94" s="37">
        <v>90</v>
      </c>
      <c r="AG94">
        <v>2016.03</v>
      </c>
      <c r="AH94">
        <v>271115</v>
      </c>
      <c r="AI94">
        <v>3</v>
      </c>
      <c r="AJ94">
        <v>124</v>
      </c>
      <c r="AK94">
        <v>36.700000000000003</v>
      </c>
      <c r="AL94">
        <v>3.16</v>
      </c>
      <c r="AM94">
        <v>3.16</v>
      </c>
      <c r="AN94">
        <v>8.6300000000000008</v>
      </c>
      <c r="AO94">
        <v>10</v>
      </c>
      <c r="AP94" s="24">
        <v>2018.03</v>
      </c>
      <c r="AQ94">
        <v>290806</v>
      </c>
      <c r="AR94">
        <v>2</v>
      </c>
      <c r="AS94">
        <v>224</v>
      </c>
      <c r="AT94">
        <v>31.8</v>
      </c>
      <c r="AU94">
        <v>4.8099999999999996</v>
      </c>
      <c r="AV94">
        <v>3.6</v>
      </c>
      <c r="AW94">
        <v>9.16</v>
      </c>
      <c r="AX94">
        <v>9.6999999999999993</v>
      </c>
    </row>
    <row r="95" spans="12:50" x14ac:dyDescent="0.15">
      <c r="L95" s="37">
        <v>91</v>
      </c>
      <c r="M95">
        <v>2014.02</v>
      </c>
      <c r="N95" s="26">
        <v>250818</v>
      </c>
      <c r="O95" s="26">
        <v>1</v>
      </c>
      <c r="P95" s="26">
        <v>189</v>
      </c>
      <c r="Q95" s="26">
        <v>35.9</v>
      </c>
      <c r="R95" s="26">
        <v>4.2300000000000004</v>
      </c>
      <c r="S95" s="26">
        <v>3.23</v>
      </c>
      <c r="T95" s="26">
        <v>8.75</v>
      </c>
      <c r="U95" s="33">
        <v>8.9</v>
      </c>
      <c r="V95" s="26">
        <v>2018.12</v>
      </c>
      <c r="W95" s="26">
        <v>300804</v>
      </c>
      <c r="X95" s="26">
        <v>1</v>
      </c>
      <c r="Y95" s="26">
        <v>134</v>
      </c>
      <c r="Z95" s="26">
        <v>31.6</v>
      </c>
      <c r="AA95" s="26">
        <v>3.97</v>
      </c>
      <c r="AB95" s="26">
        <v>3.04</v>
      </c>
      <c r="AC95" s="26">
        <v>8.5500000000000007</v>
      </c>
      <c r="AD95" s="26">
        <v>7.1</v>
      </c>
      <c r="AF95" s="37">
        <v>91</v>
      </c>
      <c r="AG95">
        <v>2016.03</v>
      </c>
      <c r="AH95">
        <v>270930</v>
      </c>
      <c r="AI95">
        <v>3</v>
      </c>
      <c r="AJ95">
        <v>170</v>
      </c>
      <c r="AK95">
        <v>40</v>
      </c>
      <c r="AL95">
        <v>3.46</v>
      </c>
      <c r="AM95">
        <v>3.16</v>
      </c>
      <c r="AN95">
        <v>8.52</v>
      </c>
      <c r="AO95">
        <v>11.2</v>
      </c>
      <c r="AP95" s="24">
        <v>2018.03</v>
      </c>
      <c r="AQ95">
        <v>290806</v>
      </c>
      <c r="AR95">
        <v>2</v>
      </c>
      <c r="AS95">
        <v>224</v>
      </c>
      <c r="AT95">
        <v>29.1</v>
      </c>
      <c r="AU95">
        <v>3.85</v>
      </c>
      <c r="AV95">
        <v>3.54</v>
      </c>
      <c r="AW95">
        <v>9.24</v>
      </c>
      <c r="AX95">
        <v>8</v>
      </c>
    </row>
    <row r="96" spans="12:50" x14ac:dyDescent="0.15">
      <c r="L96" s="37">
        <v>92</v>
      </c>
      <c r="M96">
        <v>2014.02</v>
      </c>
      <c r="N96" s="26">
        <v>250817</v>
      </c>
      <c r="O96" s="26">
        <v>1</v>
      </c>
      <c r="P96" s="26">
        <v>190</v>
      </c>
      <c r="Q96" s="26">
        <v>41.5</v>
      </c>
      <c r="R96" s="26">
        <v>3.01</v>
      </c>
      <c r="S96" s="26">
        <v>3.06</v>
      </c>
      <c r="T96" s="26">
        <v>8.58</v>
      </c>
      <c r="U96" s="33">
        <v>13.3</v>
      </c>
      <c r="V96" s="26">
        <v>2018.12</v>
      </c>
      <c r="W96" s="26">
        <v>300731</v>
      </c>
      <c r="X96" s="26">
        <v>1</v>
      </c>
      <c r="Y96" s="26">
        <v>138</v>
      </c>
      <c r="Z96" s="26">
        <v>34.6</v>
      </c>
      <c r="AA96" s="26">
        <v>3.9</v>
      </c>
      <c r="AB96" s="26">
        <v>3</v>
      </c>
      <c r="AC96" s="26">
        <v>8.3699999999999992</v>
      </c>
      <c r="AD96" s="26">
        <v>7.5</v>
      </c>
      <c r="AF96" s="37">
        <v>92</v>
      </c>
      <c r="AG96">
        <v>2016.03</v>
      </c>
      <c r="AH96">
        <v>270916</v>
      </c>
      <c r="AI96">
        <v>3</v>
      </c>
      <c r="AJ96">
        <v>184</v>
      </c>
      <c r="AK96">
        <v>21.1</v>
      </c>
      <c r="AL96">
        <v>4.0199999999999996</v>
      </c>
      <c r="AM96">
        <v>3.47</v>
      </c>
      <c r="AN96">
        <v>8.82</v>
      </c>
      <c r="AO96">
        <v>11.7</v>
      </c>
      <c r="AP96" s="24">
        <v>2018.03</v>
      </c>
      <c r="AQ96">
        <v>290727</v>
      </c>
      <c r="AR96">
        <v>2</v>
      </c>
      <c r="AS96">
        <v>234</v>
      </c>
      <c r="AT96">
        <v>46</v>
      </c>
      <c r="AU96">
        <v>3.49</v>
      </c>
      <c r="AV96">
        <v>2.8</v>
      </c>
      <c r="AW96">
        <v>8.15</v>
      </c>
      <c r="AX96">
        <v>10</v>
      </c>
    </row>
    <row r="97" spans="12:50" x14ac:dyDescent="0.15">
      <c r="L97" s="37">
        <v>93</v>
      </c>
      <c r="M97">
        <v>2014.02</v>
      </c>
      <c r="N97" s="26">
        <v>250807</v>
      </c>
      <c r="O97" s="26">
        <v>1</v>
      </c>
      <c r="P97" s="26">
        <v>200</v>
      </c>
      <c r="Q97" s="26">
        <v>43.9</v>
      </c>
      <c r="R97" s="26">
        <v>3.51</v>
      </c>
      <c r="S97" s="26">
        <v>3.25</v>
      </c>
      <c r="T97" s="26">
        <v>8.9</v>
      </c>
      <c r="U97" s="33">
        <v>13.1</v>
      </c>
      <c r="V97" s="26">
        <v>2018.12</v>
      </c>
      <c r="W97" s="26">
        <v>300630</v>
      </c>
      <c r="X97" s="26">
        <v>1</v>
      </c>
      <c r="Y97" s="26">
        <v>169</v>
      </c>
      <c r="Z97" s="26">
        <v>33.700000000000003</v>
      </c>
      <c r="AA97" s="26">
        <v>4.7</v>
      </c>
      <c r="AB97" s="26">
        <v>3.54</v>
      </c>
      <c r="AC97" s="26">
        <v>9.15</v>
      </c>
      <c r="AD97" s="26">
        <v>8.4</v>
      </c>
      <c r="AF97" s="37">
        <v>93</v>
      </c>
      <c r="AG97">
        <v>2016.03</v>
      </c>
      <c r="AH97">
        <v>270808</v>
      </c>
      <c r="AI97">
        <v>3</v>
      </c>
      <c r="AJ97">
        <v>223</v>
      </c>
      <c r="AK97">
        <v>24.4</v>
      </c>
      <c r="AL97">
        <v>3.49</v>
      </c>
      <c r="AM97">
        <v>3.15</v>
      </c>
      <c r="AN97">
        <v>8.32</v>
      </c>
      <c r="AO97">
        <v>10.3</v>
      </c>
      <c r="AP97" s="24">
        <v>2018.03</v>
      </c>
      <c r="AQ97">
        <v>290722</v>
      </c>
      <c r="AR97">
        <v>2</v>
      </c>
      <c r="AS97">
        <v>239</v>
      </c>
      <c r="AT97">
        <v>37.200000000000003</v>
      </c>
      <c r="AU97">
        <v>3.06</v>
      </c>
      <c r="AV97">
        <v>3.29</v>
      </c>
      <c r="AW97">
        <v>8.69</v>
      </c>
      <c r="AX97">
        <v>8.5</v>
      </c>
    </row>
    <row r="98" spans="12:50" x14ac:dyDescent="0.15">
      <c r="L98" s="37">
        <v>94</v>
      </c>
      <c r="M98">
        <v>2014.02</v>
      </c>
      <c r="N98" s="26">
        <v>250804</v>
      </c>
      <c r="O98" s="26">
        <v>1</v>
      </c>
      <c r="P98" s="26">
        <v>203</v>
      </c>
      <c r="Q98" s="26">
        <v>24.8</v>
      </c>
      <c r="R98" s="26">
        <v>3.7</v>
      </c>
      <c r="S98" s="26">
        <v>3.36</v>
      </c>
      <c r="T98" s="26">
        <v>8.77</v>
      </c>
      <c r="U98" s="33">
        <v>12.8</v>
      </c>
      <c r="V98" s="26">
        <v>2018.12</v>
      </c>
      <c r="W98" s="26">
        <v>300623</v>
      </c>
      <c r="X98" s="26">
        <v>1</v>
      </c>
      <c r="Y98" s="26">
        <v>176</v>
      </c>
      <c r="Z98" s="26">
        <v>33.4</v>
      </c>
      <c r="AA98" s="26">
        <v>3.26</v>
      </c>
      <c r="AB98" s="26">
        <v>3.1</v>
      </c>
      <c r="AC98" s="26">
        <v>8.6199999999999992</v>
      </c>
      <c r="AD98" s="26">
        <v>10.5</v>
      </c>
      <c r="AF98" s="37">
        <v>94</v>
      </c>
      <c r="AG98">
        <v>2013.11</v>
      </c>
      <c r="AH98">
        <v>250802</v>
      </c>
      <c r="AI98">
        <v>4</v>
      </c>
      <c r="AJ98">
        <v>111</v>
      </c>
      <c r="AK98">
        <v>43.2</v>
      </c>
      <c r="AL98">
        <v>3.46</v>
      </c>
      <c r="AM98">
        <v>3.16</v>
      </c>
      <c r="AN98">
        <v>8.59</v>
      </c>
      <c r="AO98">
        <v>14.4</v>
      </c>
      <c r="AP98" s="24">
        <v>2018.03</v>
      </c>
      <c r="AQ98">
        <v>290719</v>
      </c>
      <c r="AR98">
        <v>2</v>
      </c>
      <c r="AS98">
        <v>242</v>
      </c>
      <c r="AT98">
        <v>31.6</v>
      </c>
      <c r="AU98">
        <v>4.99</v>
      </c>
      <c r="AV98">
        <v>3.93</v>
      </c>
      <c r="AW98">
        <v>9.1</v>
      </c>
      <c r="AX98">
        <v>11.1</v>
      </c>
    </row>
    <row r="99" spans="12:50" x14ac:dyDescent="0.15">
      <c r="L99" s="37">
        <v>95</v>
      </c>
      <c r="M99">
        <v>2014.02</v>
      </c>
      <c r="N99" s="26">
        <v>250802</v>
      </c>
      <c r="O99" s="26">
        <v>1</v>
      </c>
      <c r="P99" s="26">
        <v>205</v>
      </c>
      <c r="Q99" s="26">
        <v>32.1</v>
      </c>
      <c r="R99" s="26">
        <v>4.32</v>
      </c>
      <c r="S99" s="26">
        <v>3.48</v>
      </c>
      <c r="T99" s="26">
        <v>9.09</v>
      </c>
      <c r="U99" s="33">
        <v>13.4</v>
      </c>
      <c r="V99" s="26">
        <v>2018.12</v>
      </c>
      <c r="W99" s="26">
        <v>300619</v>
      </c>
      <c r="X99" s="26">
        <v>1</v>
      </c>
      <c r="Y99" s="26">
        <v>180</v>
      </c>
      <c r="Z99" s="26">
        <v>28</v>
      </c>
      <c r="AA99" s="26">
        <v>5.59</v>
      </c>
      <c r="AB99" s="26">
        <v>3.64</v>
      </c>
      <c r="AC99" s="26">
        <v>9.15</v>
      </c>
      <c r="AD99" s="26">
        <v>10.1</v>
      </c>
      <c r="AF99" s="37">
        <v>95</v>
      </c>
      <c r="AG99">
        <v>2013.11</v>
      </c>
      <c r="AH99">
        <v>250614</v>
      </c>
      <c r="AI99">
        <v>4</v>
      </c>
      <c r="AJ99">
        <v>160</v>
      </c>
      <c r="AK99">
        <v>45.3</v>
      </c>
      <c r="AL99">
        <v>3.52</v>
      </c>
      <c r="AM99">
        <v>2.87</v>
      </c>
      <c r="AN99">
        <v>8.32</v>
      </c>
      <c r="AO99">
        <v>11.5</v>
      </c>
      <c r="AP99" s="24">
        <v>2018.03</v>
      </c>
      <c r="AQ99">
        <v>290606</v>
      </c>
      <c r="AR99">
        <v>2</v>
      </c>
      <c r="AS99">
        <v>285</v>
      </c>
      <c r="AT99">
        <v>28</v>
      </c>
      <c r="AU99">
        <v>4.08</v>
      </c>
      <c r="AV99">
        <v>3.55</v>
      </c>
      <c r="AW99">
        <v>8.9700000000000006</v>
      </c>
      <c r="AX99">
        <v>7.7</v>
      </c>
    </row>
    <row r="100" spans="12:50" x14ac:dyDescent="0.15">
      <c r="L100" s="37">
        <v>96</v>
      </c>
      <c r="M100">
        <v>2014.02</v>
      </c>
      <c r="N100" s="26">
        <v>250724</v>
      </c>
      <c r="O100" s="26">
        <v>1</v>
      </c>
      <c r="P100" s="26">
        <v>214</v>
      </c>
      <c r="Q100" s="26">
        <v>31.4</v>
      </c>
      <c r="R100" s="26">
        <v>3.28</v>
      </c>
      <c r="S100" s="26">
        <v>3</v>
      </c>
      <c r="T100" s="26">
        <v>8.57</v>
      </c>
      <c r="U100" s="33">
        <v>13.8</v>
      </c>
      <c r="V100" s="26">
        <v>2018.12</v>
      </c>
      <c r="W100" s="26">
        <v>300615</v>
      </c>
      <c r="X100" s="26">
        <v>1</v>
      </c>
      <c r="Y100" s="26">
        <v>184</v>
      </c>
      <c r="Z100" s="26">
        <v>32.799999999999997</v>
      </c>
      <c r="AA100" s="26">
        <v>4.1500000000000004</v>
      </c>
      <c r="AB100" s="26">
        <v>3.51</v>
      </c>
      <c r="AC100" s="26">
        <v>9.1</v>
      </c>
      <c r="AD100" s="26">
        <v>8.4</v>
      </c>
      <c r="AF100" s="37">
        <v>96</v>
      </c>
      <c r="AG100">
        <v>2013.11</v>
      </c>
      <c r="AH100">
        <v>250519</v>
      </c>
      <c r="AI100">
        <v>4</v>
      </c>
      <c r="AJ100">
        <v>186</v>
      </c>
      <c r="AK100">
        <v>26.7</v>
      </c>
      <c r="AL100">
        <v>4.4000000000000004</v>
      </c>
      <c r="AM100">
        <v>4.0999999999999996</v>
      </c>
      <c r="AN100">
        <v>9.49</v>
      </c>
      <c r="AO100">
        <v>12.2</v>
      </c>
      <c r="AP100" s="24">
        <v>2018.11</v>
      </c>
      <c r="AQ100">
        <v>300803</v>
      </c>
      <c r="AR100">
        <v>2</v>
      </c>
      <c r="AS100">
        <v>107</v>
      </c>
      <c r="AT100">
        <v>46.5</v>
      </c>
      <c r="AU100">
        <v>3.76</v>
      </c>
      <c r="AV100">
        <v>2.8</v>
      </c>
      <c r="AW100">
        <v>7.8</v>
      </c>
      <c r="AX100">
        <v>9.3000000000000007</v>
      </c>
    </row>
    <row r="101" spans="12:50" x14ac:dyDescent="0.15">
      <c r="L101" s="37">
        <v>97</v>
      </c>
      <c r="M101">
        <v>2014.02</v>
      </c>
      <c r="N101" s="26">
        <v>250712</v>
      </c>
      <c r="O101" s="26">
        <v>1</v>
      </c>
      <c r="P101" s="26">
        <v>226</v>
      </c>
      <c r="Q101" s="26">
        <v>41</v>
      </c>
      <c r="R101" s="26">
        <v>3.35</v>
      </c>
      <c r="S101" s="26">
        <v>3.25</v>
      </c>
      <c r="T101" s="26">
        <v>8.82</v>
      </c>
      <c r="U101" s="33">
        <v>13.6</v>
      </c>
      <c r="V101" s="26">
        <v>2018.12</v>
      </c>
      <c r="W101" s="26">
        <v>300612</v>
      </c>
      <c r="X101" s="26">
        <v>1</v>
      </c>
      <c r="Y101" s="26">
        <v>187</v>
      </c>
      <c r="Z101" s="26">
        <v>27.9</v>
      </c>
      <c r="AA101" s="26">
        <v>3.63</v>
      </c>
      <c r="AB101" s="26">
        <v>3.17</v>
      </c>
      <c r="AC101" s="26">
        <v>8.65</v>
      </c>
      <c r="AD101" s="26">
        <v>6.7</v>
      </c>
      <c r="AF101" s="37">
        <v>97</v>
      </c>
      <c r="AG101">
        <v>2013.11</v>
      </c>
      <c r="AH101">
        <v>250318</v>
      </c>
      <c r="AI101">
        <v>4</v>
      </c>
      <c r="AJ101">
        <v>248</v>
      </c>
      <c r="AK101">
        <v>35.200000000000003</v>
      </c>
      <c r="AL101">
        <v>3.74</v>
      </c>
      <c r="AM101">
        <v>3.56</v>
      </c>
      <c r="AN101">
        <v>8.82</v>
      </c>
      <c r="AO101">
        <v>14.3</v>
      </c>
      <c r="AP101" s="24">
        <v>2018.11</v>
      </c>
      <c r="AQ101">
        <v>300727</v>
      </c>
      <c r="AR101">
        <v>2</v>
      </c>
      <c r="AS101">
        <v>114</v>
      </c>
      <c r="AT101">
        <v>38.5</v>
      </c>
      <c r="AU101">
        <v>3.91</v>
      </c>
      <c r="AV101">
        <v>2.84</v>
      </c>
      <c r="AW101">
        <v>8.24</v>
      </c>
      <c r="AX101">
        <v>10.9</v>
      </c>
    </row>
    <row r="102" spans="12:50" x14ac:dyDescent="0.15">
      <c r="L102" s="37">
        <v>98</v>
      </c>
      <c r="M102">
        <v>2014.02</v>
      </c>
      <c r="N102" s="26">
        <v>250712</v>
      </c>
      <c r="O102" s="26">
        <v>1</v>
      </c>
      <c r="P102" s="26">
        <v>226</v>
      </c>
      <c r="Q102" s="26">
        <v>34.9</v>
      </c>
      <c r="R102" s="26">
        <v>3.91</v>
      </c>
      <c r="S102" s="26">
        <v>3.41</v>
      </c>
      <c r="T102" s="26">
        <v>8.9499999999999993</v>
      </c>
      <c r="U102" s="33">
        <v>13.9</v>
      </c>
      <c r="V102" s="26">
        <v>2018.12</v>
      </c>
      <c r="W102" s="26">
        <v>300604</v>
      </c>
      <c r="X102" s="26">
        <v>1</v>
      </c>
      <c r="Y102" s="26">
        <v>195</v>
      </c>
      <c r="Z102" s="26">
        <v>34.4</v>
      </c>
      <c r="AA102" s="26">
        <v>4.6399999999999997</v>
      </c>
      <c r="AB102" s="26">
        <v>3.53</v>
      </c>
      <c r="AC102" s="26">
        <v>8.94</v>
      </c>
      <c r="AD102" s="26">
        <v>9</v>
      </c>
      <c r="AF102" s="37">
        <v>98</v>
      </c>
      <c r="AG102">
        <v>2013.11</v>
      </c>
      <c r="AH102">
        <v>250130</v>
      </c>
      <c r="AI102">
        <v>4</v>
      </c>
      <c r="AJ102">
        <v>295</v>
      </c>
      <c r="AK102">
        <v>14.8</v>
      </c>
      <c r="AL102">
        <v>4</v>
      </c>
      <c r="AM102">
        <v>3.78</v>
      </c>
      <c r="AN102">
        <v>8.83</v>
      </c>
      <c r="AO102">
        <v>10.6</v>
      </c>
      <c r="AP102" s="24">
        <v>2018.11</v>
      </c>
      <c r="AQ102">
        <v>300723</v>
      </c>
      <c r="AR102">
        <v>2</v>
      </c>
      <c r="AS102">
        <v>118</v>
      </c>
      <c r="AT102">
        <v>45.3</v>
      </c>
      <c r="AU102">
        <v>3.6</v>
      </c>
      <c r="AV102">
        <v>3.34</v>
      </c>
      <c r="AW102">
        <v>8.69</v>
      </c>
      <c r="AX102">
        <v>10.4</v>
      </c>
    </row>
    <row r="103" spans="12:50" x14ac:dyDescent="0.15">
      <c r="L103" s="37">
        <v>99</v>
      </c>
      <c r="M103">
        <v>2014.02</v>
      </c>
      <c r="N103" s="26">
        <v>250618</v>
      </c>
      <c r="O103" s="26">
        <v>1</v>
      </c>
      <c r="P103" s="26">
        <v>250</v>
      </c>
      <c r="Q103" s="26">
        <v>18.2</v>
      </c>
      <c r="R103" s="26">
        <v>4.42</v>
      </c>
      <c r="S103" s="26">
        <v>3.49</v>
      </c>
      <c r="T103" s="26">
        <v>9</v>
      </c>
      <c r="U103" s="33">
        <v>13.2</v>
      </c>
      <c r="V103" s="26">
        <v>2018.12</v>
      </c>
      <c r="W103" s="26">
        <v>300603</v>
      </c>
      <c r="X103" s="26">
        <v>1</v>
      </c>
      <c r="Y103" s="26">
        <v>196</v>
      </c>
      <c r="Z103" s="26">
        <v>4.2</v>
      </c>
      <c r="AA103" s="26">
        <v>4.24</v>
      </c>
      <c r="AB103" s="26">
        <v>2.92</v>
      </c>
      <c r="AC103" s="26">
        <v>7.15</v>
      </c>
      <c r="AD103" s="26">
        <v>4.9000000000000004</v>
      </c>
      <c r="AF103" s="37">
        <v>99</v>
      </c>
      <c r="AG103">
        <v>2013.12</v>
      </c>
      <c r="AH103">
        <v>250830</v>
      </c>
      <c r="AI103">
        <v>4</v>
      </c>
      <c r="AJ103">
        <v>112</v>
      </c>
      <c r="AK103">
        <v>48.6</v>
      </c>
      <c r="AL103">
        <v>3.35</v>
      </c>
      <c r="AM103">
        <v>2.65</v>
      </c>
      <c r="AN103">
        <v>7.98</v>
      </c>
      <c r="AO103">
        <v>13.3</v>
      </c>
      <c r="AP103" s="24">
        <v>2018.11</v>
      </c>
      <c r="AQ103">
        <v>300709</v>
      </c>
      <c r="AR103">
        <v>2</v>
      </c>
      <c r="AS103">
        <v>132</v>
      </c>
      <c r="AT103">
        <v>47</v>
      </c>
      <c r="AU103">
        <v>3.84</v>
      </c>
      <c r="AV103">
        <v>2.95</v>
      </c>
      <c r="AW103">
        <v>8.48</v>
      </c>
      <c r="AX103">
        <v>14</v>
      </c>
    </row>
    <row r="104" spans="12:50" x14ac:dyDescent="0.15">
      <c r="L104" s="37">
        <v>100</v>
      </c>
      <c r="M104">
        <v>2014.02</v>
      </c>
      <c r="N104" s="26">
        <v>250617</v>
      </c>
      <c r="O104" s="26">
        <v>1</v>
      </c>
      <c r="P104" s="26">
        <v>251</v>
      </c>
      <c r="Q104" s="26">
        <v>33.5</v>
      </c>
      <c r="R104" s="26">
        <v>4.25</v>
      </c>
      <c r="S104" s="26">
        <v>3.86</v>
      </c>
      <c r="T104" s="26">
        <v>9.34</v>
      </c>
      <c r="U104" s="33">
        <v>13</v>
      </c>
      <c r="V104" s="26">
        <v>2018.12</v>
      </c>
      <c r="W104" s="26">
        <v>300601</v>
      </c>
      <c r="X104" s="26">
        <v>1</v>
      </c>
      <c r="Y104" s="26">
        <v>198</v>
      </c>
      <c r="Z104" s="26">
        <v>29.3</v>
      </c>
      <c r="AA104" s="26">
        <v>3.68</v>
      </c>
      <c r="AB104" s="26">
        <v>3.43</v>
      </c>
      <c r="AC104" s="26">
        <v>9.1199999999999992</v>
      </c>
      <c r="AD104" s="26">
        <v>9.3000000000000007</v>
      </c>
      <c r="AF104" s="37">
        <v>100</v>
      </c>
      <c r="AG104">
        <v>2013.12</v>
      </c>
      <c r="AH104">
        <v>250802</v>
      </c>
      <c r="AI104">
        <v>4</v>
      </c>
      <c r="AJ104">
        <v>140</v>
      </c>
      <c r="AK104">
        <v>37.299999999999997</v>
      </c>
      <c r="AL104">
        <v>3.59</v>
      </c>
      <c r="AM104">
        <v>3.24</v>
      </c>
      <c r="AN104">
        <v>8.67</v>
      </c>
      <c r="AO104">
        <v>13.4</v>
      </c>
      <c r="AP104" s="24">
        <v>2018.11</v>
      </c>
      <c r="AQ104">
        <v>300701</v>
      </c>
      <c r="AR104">
        <v>2</v>
      </c>
      <c r="AS104">
        <v>140</v>
      </c>
      <c r="AT104">
        <v>43.3</v>
      </c>
      <c r="AU104">
        <v>4.62</v>
      </c>
      <c r="AV104">
        <v>3.14</v>
      </c>
      <c r="AW104">
        <v>8.49</v>
      </c>
      <c r="AX104">
        <v>11.4</v>
      </c>
    </row>
    <row r="105" spans="12:50" x14ac:dyDescent="0.15">
      <c r="L105" s="37">
        <v>101</v>
      </c>
      <c r="M105">
        <v>2014.02</v>
      </c>
      <c r="N105" s="26">
        <v>250607</v>
      </c>
      <c r="O105" s="26">
        <v>1</v>
      </c>
      <c r="P105" s="26">
        <v>261</v>
      </c>
      <c r="Q105" s="26">
        <v>41.6</v>
      </c>
      <c r="R105" s="26">
        <v>3.78</v>
      </c>
      <c r="S105" s="26">
        <v>3.17</v>
      </c>
      <c r="T105" s="26">
        <v>8.8000000000000007</v>
      </c>
      <c r="U105" s="33">
        <v>14.9</v>
      </c>
      <c r="V105" s="26">
        <v>2018.12</v>
      </c>
      <c r="W105" s="26">
        <v>300524</v>
      </c>
      <c r="X105" s="26">
        <v>1</v>
      </c>
      <c r="Y105" s="26">
        <v>206</v>
      </c>
      <c r="Z105" s="26">
        <v>34.5</v>
      </c>
      <c r="AA105" s="26">
        <v>3.47</v>
      </c>
      <c r="AB105" s="26">
        <v>3.21</v>
      </c>
      <c r="AC105" s="26">
        <v>8.56</v>
      </c>
      <c r="AD105" s="26">
        <v>7.8</v>
      </c>
      <c r="AF105" s="37">
        <v>101</v>
      </c>
      <c r="AG105">
        <v>2013.12</v>
      </c>
      <c r="AH105">
        <v>250619</v>
      </c>
      <c r="AI105">
        <v>4</v>
      </c>
      <c r="AJ105">
        <v>184</v>
      </c>
      <c r="AK105">
        <v>28.9</v>
      </c>
      <c r="AL105">
        <v>3.87</v>
      </c>
      <c r="AM105">
        <v>3.21</v>
      </c>
      <c r="AN105">
        <v>8.7799999999999994</v>
      </c>
      <c r="AO105">
        <v>9.4</v>
      </c>
      <c r="AP105" s="24">
        <v>2018.11</v>
      </c>
      <c r="AQ105">
        <v>300409</v>
      </c>
      <c r="AR105">
        <v>2</v>
      </c>
      <c r="AS105">
        <v>223</v>
      </c>
      <c r="AT105">
        <v>21.8</v>
      </c>
      <c r="AU105">
        <v>4.51</v>
      </c>
      <c r="AV105">
        <v>4.07</v>
      </c>
      <c r="AW105">
        <v>9.61</v>
      </c>
      <c r="AX105">
        <v>8.8000000000000007</v>
      </c>
    </row>
    <row r="106" spans="12:50" x14ac:dyDescent="0.15">
      <c r="L106" s="37">
        <v>102</v>
      </c>
      <c r="M106">
        <v>2014.02</v>
      </c>
      <c r="N106" s="26">
        <v>250524</v>
      </c>
      <c r="O106" s="26">
        <v>1</v>
      </c>
      <c r="P106" s="26">
        <v>275</v>
      </c>
      <c r="Q106" s="26">
        <v>30.4</v>
      </c>
      <c r="R106" s="26">
        <v>3.74</v>
      </c>
      <c r="S106" s="26">
        <v>3.3</v>
      </c>
      <c r="T106" s="26">
        <v>8.58</v>
      </c>
      <c r="U106" s="33">
        <v>11.8</v>
      </c>
      <c r="V106" s="26">
        <v>2018.12</v>
      </c>
      <c r="W106" s="26">
        <v>300519</v>
      </c>
      <c r="X106" s="26">
        <v>1</v>
      </c>
      <c r="Y106" s="26">
        <v>211</v>
      </c>
      <c r="Z106" s="26">
        <v>29.2</v>
      </c>
      <c r="AA106" s="26">
        <v>3.8</v>
      </c>
      <c r="AB106" s="26">
        <v>3.59</v>
      </c>
      <c r="AC106" s="26">
        <v>9.18</v>
      </c>
      <c r="AD106" s="26">
        <v>5.6</v>
      </c>
      <c r="AF106" s="37">
        <v>102</v>
      </c>
      <c r="AG106">
        <v>2013.12</v>
      </c>
      <c r="AH106">
        <v>250519</v>
      </c>
      <c r="AI106">
        <v>4</v>
      </c>
      <c r="AJ106">
        <v>215</v>
      </c>
      <c r="AK106">
        <v>23.1</v>
      </c>
      <c r="AL106">
        <v>4.87</v>
      </c>
      <c r="AM106">
        <v>3.99</v>
      </c>
      <c r="AN106">
        <v>9.49</v>
      </c>
      <c r="AO106">
        <v>12.1</v>
      </c>
      <c r="AP106" s="24">
        <v>2018.11</v>
      </c>
      <c r="AQ106">
        <v>300405</v>
      </c>
      <c r="AR106">
        <v>2</v>
      </c>
      <c r="AS106">
        <v>227</v>
      </c>
      <c r="AT106">
        <v>34.200000000000003</v>
      </c>
      <c r="AU106">
        <v>3.55</v>
      </c>
      <c r="AV106">
        <v>3.47</v>
      </c>
      <c r="AW106">
        <v>9</v>
      </c>
      <c r="AX106">
        <v>9.5</v>
      </c>
    </row>
    <row r="107" spans="12:50" x14ac:dyDescent="0.15">
      <c r="L107" s="37">
        <v>103</v>
      </c>
      <c r="M107">
        <v>2014.02</v>
      </c>
      <c r="N107" s="26">
        <v>250521</v>
      </c>
      <c r="O107" s="26">
        <v>1</v>
      </c>
      <c r="P107" s="26">
        <v>278</v>
      </c>
      <c r="Q107" s="26">
        <v>33.200000000000003</v>
      </c>
      <c r="R107" s="26">
        <v>3.86</v>
      </c>
      <c r="S107" s="26">
        <v>3.52</v>
      </c>
      <c r="T107" s="26">
        <v>8.99</v>
      </c>
      <c r="U107" s="33">
        <v>11.8</v>
      </c>
      <c r="V107" s="26">
        <v>2018.12</v>
      </c>
      <c r="W107" s="26">
        <v>300519</v>
      </c>
      <c r="X107" s="26">
        <v>1</v>
      </c>
      <c r="Y107" s="26">
        <v>211</v>
      </c>
      <c r="Z107" s="26">
        <v>39.6</v>
      </c>
      <c r="AA107" s="26">
        <v>4.17</v>
      </c>
      <c r="AB107" s="26">
        <v>3.02</v>
      </c>
      <c r="AC107" s="26">
        <v>8.32</v>
      </c>
      <c r="AD107" s="26">
        <v>10.7</v>
      </c>
      <c r="AF107" s="37">
        <v>103</v>
      </c>
      <c r="AG107">
        <v>2013.12</v>
      </c>
      <c r="AH107">
        <v>250318</v>
      </c>
      <c r="AI107">
        <v>4</v>
      </c>
      <c r="AJ107">
        <v>277</v>
      </c>
      <c r="AK107">
        <v>36.299999999999997</v>
      </c>
      <c r="AL107">
        <v>4.6399999999999997</v>
      </c>
      <c r="AM107">
        <v>3.61</v>
      </c>
      <c r="AN107">
        <v>8.8699999999999992</v>
      </c>
      <c r="AO107">
        <v>15.2</v>
      </c>
      <c r="AP107" s="24">
        <v>2018.11</v>
      </c>
      <c r="AQ107">
        <v>300315</v>
      </c>
      <c r="AR107">
        <v>2</v>
      </c>
      <c r="AS107">
        <v>248</v>
      </c>
      <c r="AT107">
        <v>33</v>
      </c>
      <c r="AU107">
        <v>3.94</v>
      </c>
      <c r="AV107">
        <v>3.87</v>
      </c>
      <c r="AW107">
        <v>9.0500000000000007</v>
      </c>
      <c r="AX107">
        <v>9.1999999999999993</v>
      </c>
    </row>
    <row r="108" spans="12:50" x14ac:dyDescent="0.15">
      <c r="L108" s="37">
        <v>104</v>
      </c>
      <c r="M108">
        <v>2014.02</v>
      </c>
      <c r="N108" s="26">
        <v>250520</v>
      </c>
      <c r="O108" s="26">
        <v>1</v>
      </c>
      <c r="P108" s="26">
        <v>279</v>
      </c>
      <c r="Q108" s="26">
        <v>29.8</v>
      </c>
      <c r="R108" s="26">
        <v>4.71</v>
      </c>
      <c r="S108" s="26">
        <v>3.95</v>
      </c>
      <c r="T108" s="26">
        <v>9.4600000000000009</v>
      </c>
      <c r="U108" s="33">
        <v>11</v>
      </c>
      <c r="V108" s="26">
        <v>2018.12</v>
      </c>
      <c r="W108" s="26">
        <v>300516</v>
      </c>
      <c r="X108" s="26">
        <v>1</v>
      </c>
      <c r="Y108" s="26">
        <v>214</v>
      </c>
      <c r="Z108" s="26">
        <v>39.5</v>
      </c>
      <c r="AA108" s="26">
        <v>3.77</v>
      </c>
      <c r="AB108" s="26">
        <v>3.16</v>
      </c>
      <c r="AC108" s="26">
        <v>8.81</v>
      </c>
      <c r="AD108" s="26">
        <v>10.8</v>
      </c>
      <c r="AF108" s="37">
        <v>104</v>
      </c>
      <c r="AG108">
        <v>2014.01</v>
      </c>
      <c r="AH108">
        <v>250830</v>
      </c>
      <c r="AI108">
        <v>4</v>
      </c>
      <c r="AJ108">
        <v>146</v>
      </c>
      <c r="AK108">
        <v>44.9</v>
      </c>
      <c r="AL108">
        <v>3.31</v>
      </c>
      <c r="AM108">
        <v>2.63</v>
      </c>
      <c r="AN108">
        <v>7.94</v>
      </c>
      <c r="AO108" s="17">
        <v>13.3</v>
      </c>
      <c r="AP108" s="24">
        <v>2018.12</v>
      </c>
      <c r="AQ108">
        <v>300829</v>
      </c>
      <c r="AR108">
        <v>2</v>
      </c>
      <c r="AS108">
        <v>109</v>
      </c>
      <c r="AT108">
        <v>39.700000000000003</v>
      </c>
      <c r="AU108">
        <v>4.62</v>
      </c>
      <c r="AV108">
        <v>3.21</v>
      </c>
      <c r="AW108">
        <v>8.65</v>
      </c>
      <c r="AX108">
        <v>8.3000000000000007</v>
      </c>
    </row>
    <row r="109" spans="12:50" x14ac:dyDescent="0.15">
      <c r="L109" s="37">
        <v>105</v>
      </c>
      <c r="M109">
        <v>2014.02</v>
      </c>
      <c r="N109" s="26">
        <v>250514</v>
      </c>
      <c r="O109" s="26">
        <v>1</v>
      </c>
      <c r="P109" s="26">
        <v>285</v>
      </c>
      <c r="Q109" s="26">
        <v>36.5</v>
      </c>
      <c r="R109" s="26">
        <v>3.75</v>
      </c>
      <c r="S109" s="26">
        <v>3</v>
      </c>
      <c r="T109" s="26">
        <v>8.41</v>
      </c>
      <c r="U109" s="33">
        <v>11.6</v>
      </c>
      <c r="V109" s="26">
        <v>2018.12</v>
      </c>
      <c r="W109" s="26">
        <v>300331</v>
      </c>
      <c r="X109" s="26">
        <v>1</v>
      </c>
      <c r="Y109" s="26">
        <v>260</v>
      </c>
      <c r="Z109" s="26">
        <v>13.9</v>
      </c>
      <c r="AA109" s="26">
        <v>4.4400000000000004</v>
      </c>
      <c r="AB109" s="26">
        <v>3.45</v>
      </c>
      <c r="AC109" s="26">
        <v>9.16</v>
      </c>
      <c r="AD109" s="26">
        <v>5.4</v>
      </c>
      <c r="AF109" s="37">
        <v>105</v>
      </c>
      <c r="AG109">
        <v>2014.01</v>
      </c>
      <c r="AH109">
        <v>250802</v>
      </c>
      <c r="AI109">
        <v>4</v>
      </c>
      <c r="AJ109">
        <v>174</v>
      </c>
      <c r="AK109">
        <v>29.3</v>
      </c>
      <c r="AL109">
        <v>3.72</v>
      </c>
      <c r="AM109">
        <v>3.25</v>
      </c>
      <c r="AN109">
        <v>8.6300000000000008</v>
      </c>
      <c r="AO109" s="17">
        <v>16</v>
      </c>
      <c r="AP109" s="24">
        <v>2018.12</v>
      </c>
      <c r="AQ109">
        <v>300829</v>
      </c>
      <c r="AR109">
        <v>2</v>
      </c>
      <c r="AS109">
        <v>109</v>
      </c>
      <c r="AT109">
        <v>31.7</v>
      </c>
      <c r="AU109">
        <v>4.28</v>
      </c>
      <c r="AV109">
        <v>3.79</v>
      </c>
      <c r="AW109">
        <v>9.25</v>
      </c>
      <c r="AX109">
        <v>7.1</v>
      </c>
    </row>
    <row r="110" spans="12:50" x14ac:dyDescent="0.15">
      <c r="L110" s="37">
        <v>106</v>
      </c>
      <c r="M110">
        <v>2014.02</v>
      </c>
      <c r="N110" s="26">
        <v>250501</v>
      </c>
      <c r="O110" s="26">
        <v>1</v>
      </c>
      <c r="P110" s="26">
        <v>298</v>
      </c>
      <c r="Q110" s="26">
        <v>39.299999999999997</v>
      </c>
      <c r="R110" s="26">
        <v>4.47</v>
      </c>
      <c r="S110" s="26">
        <v>3.69</v>
      </c>
      <c r="T110" s="26">
        <v>9.42</v>
      </c>
      <c r="U110" s="33">
        <v>9.9</v>
      </c>
      <c r="V110" s="26">
        <v>2019.01</v>
      </c>
      <c r="W110" s="26">
        <v>301011</v>
      </c>
      <c r="X110" s="26">
        <v>1</v>
      </c>
      <c r="Y110" s="26">
        <v>101</v>
      </c>
      <c r="Z110" s="26">
        <v>27</v>
      </c>
      <c r="AA110" s="26">
        <v>3.78</v>
      </c>
      <c r="AB110" s="26">
        <v>3.36</v>
      </c>
      <c r="AC110" s="26">
        <v>9.0299999999999994</v>
      </c>
      <c r="AD110" s="26">
        <v>9.1</v>
      </c>
      <c r="AF110" s="37">
        <v>106</v>
      </c>
      <c r="AG110">
        <v>2014.01</v>
      </c>
      <c r="AH110">
        <v>250619</v>
      </c>
      <c r="AI110">
        <v>4</v>
      </c>
      <c r="AJ110">
        <v>218</v>
      </c>
      <c r="AK110">
        <v>20</v>
      </c>
      <c r="AL110">
        <v>3.82</v>
      </c>
      <c r="AM110">
        <v>3.11</v>
      </c>
      <c r="AN110">
        <v>8.6199999999999992</v>
      </c>
      <c r="AO110" s="17">
        <v>8.6999999999999993</v>
      </c>
      <c r="AP110" s="24">
        <v>2018.12</v>
      </c>
      <c r="AQ110">
        <v>300822</v>
      </c>
      <c r="AR110">
        <v>2</v>
      </c>
      <c r="AS110">
        <v>116</v>
      </c>
      <c r="AT110">
        <v>38.5</v>
      </c>
      <c r="AU110">
        <v>4.28</v>
      </c>
      <c r="AV110">
        <v>3.13</v>
      </c>
      <c r="AW110">
        <v>8.58</v>
      </c>
      <c r="AX110">
        <v>8.6999999999999993</v>
      </c>
    </row>
    <row r="111" spans="12:50" x14ac:dyDescent="0.15">
      <c r="L111" s="37">
        <v>107</v>
      </c>
      <c r="M111">
        <v>2014.03</v>
      </c>
      <c r="N111" s="26">
        <v>251202</v>
      </c>
      <c r="O111" s="26">
        <v>1</v>
      </c>
      <c r="P111" s="26">
        <v>112</v>
      </c>
      <c r="Q111" s="26">
        <v>32.799999999999997</v>
      </c>
      <c r="R111" s="26">
        <v>4.6900000000000004</v>
      </c>
      <c r="S111" s="26">
        <v>3.42</v>
      </c>
      <c r="T111" s="26">
        <v>9.17</v>
      </c>
      <c r="U111" s="33">
        <v>13</v>
      </c>
      <c r="V111" s="26">
        <v>2019.01</v>
      </c>
      <c r="W111" s="26">
        <v>300924</v>
      </c>
      <c r="X111" s="26">
        <v>1</v>
      </c>
      <c r="Y111" s="26">
        <v>118</v>
      </c>
      <c r="Z111" s="26">
        <v>41.3</v>
      </c>
      <c r="AA111" s="26">
        <v>3.25</v>
      </c>
      <c r="AB111" s="26">
        <v>2.87</v>
      </c>
      <c r="AC111" s="26">
        <v>8.4700000000000006</v>
      </c>
      <c r="AD111" s="26">
        <v>11.3</v>
      </c>
      <c r="AF111" s="37">
        <v>107</v>
      </c>
      <c r="AG111">
        <v>2014.01</v>
      </c>
      <c r="AH111">
        <v>250519</v>
      </c>
      <c r="AI111">
        <v>4</v>
      </c>
      <c r="AJ111">
        <v>249</v>
      </c>
      <c r="AK111">
        <v>22.4</v>
      </c>
      <c r="AL111">
        <v>4.79</v>
      </c>
      <c r="AM111">
        <v>4.05</v>
      </c>
      <c r="AN111">
        <v>9.5399999999999991</v>
      </c>
      <c r="AO111" s="17">
        <v>12.1</v>
      </c>
      <c r="AP111" s="24">
        <v>2018.12</v>
      </c>
      <c r="AQ111">
        <v>300803</v>
      </c>
      <c r="AR111">
        <v>2</v>
      </c>
      <c r="AS111">
        <v>135</v>
      </c>
      <c r="AT111">
        <v>50.2</v>
      </c>
      <c r="AU111">
        <v>2.86</v>
      </c>
      <c r="AV111">
        <v>3.25</v>
      </c>
      <c r="AW111">
        <v>8.31</v>
      </c>
      <c r="AX111">
        <v>8.6</v>
      </c>
    </row>
    <row r="112" spans="12:50" x14ac:dyDescent="0.15">
      <c r="L112" s="37">
        <v>108</v>
      </c>
      <c r="M112">
        <v>2014.03</v>
      </c>
      <c r="N112" s="26">
        <v>251123</v>
      </c>
      <c r="O112" s="26">
        <v>1</v>
      </c>
      <c r="P112" s="26">
        <v>121</v>
      </c>
      <c r="Q112" s="26">
        <v>40.700000000000003</v>
      </c>
      <c r="R112" s="26">
        <v>2.98</v>
      </c>
      <c r="S112" s="26">
        <v>2.95</v>
      </c>
      <c r="T112" s="26">
        <v>8.65</v>
      </c>
      <c r="U112" s="33">
        <v>14.6</v>
      </c>
      <c r="V112" s="26">
        <v>2019.01</v>
      </c>
      <c r="W112" s="26">
        <v>300910</v>
      </c>
      <c r="X112" s="26">
        <v>1</v>
      </c>
      <c r="Y112" s="26">
        <v>132</v>
      </c>
      <c r="Z112" s="26">
        <v>28.4</v>
      </c>
      <c r="AA112" s="26">
        <v>4.37</v>
      </c>
      <c r="AB112" s="26">
        <v>3.34</v>
      </c>
      <c r="AC112" s="26">
        <v>8.74</v>
      </c>
      <c r="AD112" s="26">
        <v>8</v>
      </c>
      <c r="AF112" s="37">
        <v>108</v>
      </c>
      <c r="AG112">
        <v>2014.02</v>
      </c>
      <c r="AH112" s="29">
        <v>251110</v>
      </c>
      <c r="AI112" s="29">
        <v>4</v>
      </c>
      <c r="AJ112" s="29">
        <v>105</v>
      </c>
      <c r="AK112" s="29">
        <v>46.1</v>
      </c>
      <c r="AL112" s="29">
        <v>2.92</v>
      </c>
      <c r="AM112" s="29">
        <v>3.32</v>
      </c>
      <c r="AN112" s="29">
        <v>8.8000000000000007</v>
      </c>
      <c r="AO112" s="29">
        <v>13.1</v>
      </c>
      <c r="AP112" s="24">
        <v>2018.12</v>
      </c>
      <c r="AQ112">
        <v>300727</v>
      </c>
      <c r="AR112">
        <v>2</v>
      </c>
      <c r="AS112">
        <v>142</v>
      </c>
      <c r="AT112">
        <v>35.799999999999997</v>
      </c>
      <c r="AU112">
        <v>3.99</v>
      </c>
      <c r="AV112">
        <v>2.86</v>
      </c>
      <c r="AW112">
        <v>8.23</v>
      </c>
      <c r="AX112">
        <v>9.3000000000000007</v>
      </c>
    </row>
    <row r="113" spans="12:50" x14ac:dyDescent="0.15">
      <c r="L113" s="37">
        <v>109</v>
      </c>
      <c r="M113">
        <v>2014.03</v>
      </c>
      <c r="N113" s="26">
        <v>251121</v>
      </c>
      <c r="O113" s="26">
        <v>1</v>
      </c>
      <c r="P113" s="26">
        <v>123</v>
      </c>
      <c r="Q113" s="26">
        <v>22.5</v>
      </c>
      <c r="R113" s="26">
        <v>3.89</v>
      </c>
      <c r="S113" s="26">
        <v>3.48</v>
      </c>
      <c r="T113" s="26">
        <v>9.2200000000000006</v>
      </c>
      <c r="U113" s="33">
        <v>15.2</v>
      </c>
      <c r="V113" s="26">
        <v>2019.01</v>
      </c>
      <c r="W113" s="26">
        <v>300906</v>
      </c>
      <c r="X113" s="26">
        <v>1</v>
      </c>
      <c r="Y113" s="26">
        <v>136</v>
      </c>
      <c r="Z113" s="26">
        <v>30</v>
      </c>
      <c r="AA113" s="26">
        <v>3.84</v>
      </c>
      <c r="AB113" s="26">
        <v>3.25</v>
      </c>
      <c r="AC113" s="26">
        <v>9.1199999999999992</v>
      </c>
      <c r="AD113" s="26">
        <v>10</v>
      </c>
      <c r="AF113" s="37">
        <v>109</v>
      </c>
      <c r="AG113">
        <v>2014.02</v>
      </c>
      <c r="AH113" s="29">
        <v>250802</v>
      </c>
      <c r="AI113" s="29">
        <v>4</v>
      </c>
      <c r="AJ113" s="29">
        <v>205</v>
      </c>
      <c r="AK113" s="29">
        <v>32.4</v>
      </c>
      <c r="AL113" s="29">
        <v>3.64</v>
      </c>
      <c r="AM113" s="29">
        <v>3.67</v>
      </c>
      <c r="AN113" s="29">
        <v>9.02</v>
      </c>
      <c r="AO113" s="16">
        <v>14.8</v>
      </c>
      <c r="AP113" s="24">
        <v>2018.12</v>
      </c>
      <c r="AQ113">
        <v>300723</v>
      </c>
      <c r="AR113">
        <v>2</v>
      </c>
      <c r="AS113">
        <v>146</v>
      </c>
      <c r="AT113">
        <v>22.4</v>
      </c>
      <c r="AU113">
        <v>4.01</v>
      </c>
      <c r="AV113">
        <v>3.45</v>
      </c>
      <c r="AW113">
        <v>8.8800000000000008</v>
      </c>
      <c r="AX113">
        <v>8.6999999999999993</v>
      </c>
    </row>
    <row r="114" spans="12:50" x14ac:dyDescent="0.15">
      <c r="L114" s="37">
        <v>110</v>
      </c>
      <c r="M114">
        <v>2014.03</v>
      </c>
      <c r="N114" s="26">
        <v>251014</v>
      </c>
      <c r="O114" s="26">
        <v>1</v>
      </c>
      <c r="P114" s="26">
        <v>161</v>
      </c>
      <c r="Q114" s="26">
        <v>30.9</v>
      </c>
      <c r="R114" s="26">
        <v>4.3</v>
      </c>
      <c r="S114" s="26">
        <v>3.45</v>
      </c>
      <c r="T114" s="26">
        <v>9.1999999999999993</v>
      </c>
      <c r="U114" s="33">
        <v>11.7</v>
      </c>
      <c r="V114" s="26">
        <v>2019.01</v>
      </c>
      <c r="W114" s="26">
        <v>300804</v>
      </c>
      <c r="X114" s="26">
        <v>1</v>
      </c>
      <c r="Y114" s="26">
        <v>169</v>
      </c>
      <c r="Z114" s="26">
        <v>31.9</v>
      </c>
      <c r="AA114" s="26">
        <v>3.87</v>
      </c>
      <c r="AB114" s="26">
        <v>3.18</v>
      </c>
      <c r="AC114" s="26">
        <v>8.68</v>
      </c>
      <c r="AD114" s="26">
        <v>8.6</v>
      </c>
      <c r="AF114" s="37">
        <v>110</v>
      </c>
      <c r="AG114">
        <v>2014.02</v>
      </c>
      <c r="AH114">
        <v>250619</v>
      </c>
      <c r="AI114">
        <v>4</v>
      </c>
      <c r="AJ114">
        <v>249</v>
      </c>
      <c r="AK114">
        <v>33.1</v>
      </c>
      <c r="AL114">
        <v>3.89</v>
      </c>
      <c r="AM114">
        <v>3.42</v>
      </c>
      <c r="AN114">
        <v>8.98</v>
      </c>
      <c r="AO114">
        <v>10.8</v>
      </c>
      <c r="AP114" s="24">
        <v>2018.12</v>
      </c>
      <c r="AQ114">
        <v>300709</v>
      </c>
      <c r="AR114">
        <v>2</v>
      </c>
      <c r="AS114">
        <v>160</v>
      </c>
      <c r="AT114">
        <v>41</v>
      </c>
      <c r="AU114">
        <v>3.8</v>
      </c>
      <c r="AV114">
        <v>2.97</v>
      </c>
      <c r="AW114">
        <v>8.2899999999999991</v>
      </c>
      <c r="AX114">
        <v>9.6999999999999993</v>
      </c>
    </row>
    <row r="115" spans="12:50" x14ac:dyDescent="0.15">
      <c r="L115" s="37">
        <v>111</v>
      </c>
      <c r="M115">
        <v>2014.03</v>
      </c>
      <c r="N115" s="26">
        <v>250919</v>
      </c>
      <c r="O115" s="26">
        <v>1</v>
      </c>
      <c r="P115" s="26">
        <v>186</v>
      </c>
      <c r="Q115" s="26">
        <v>29.9</v>
      </c>
      <c r="R115" s="27">
        <v>3.57</v>
      </c>
      <c r="S115" s="27">
        <v>3.53</v>
      </c>
      <c r="T115" s="26">
        <v>9.11</v>
      </c>
      <c r="U115" s="33">
        <v>15.5</v>
      </c>
      <c r="V115" s="26">
        <v>2019.01</v>
      </c>
      <c r="W115" s="26">
        <v>300731</v>
      </c>
      <c r="X115" s="26">
        <v>1</v>
      </c>
      <c r="Y115" s="26">
        <v>173</v>
      </c>
      <c r="Z115" s="26">
        <v>30</v>
      </c>
      <c r="AA115" s="26">
        <v>4.1500000000000004</v>
      </c>
      <c r="AB115" s="26">
        <v>3</v>
      </c>
      <c r="AC115" s="26">
        <v>8.61</v>
      </c>
      <c r="AD115" s="26">
        <v>7.3</v>
      </c>
      <c r="AF115" s="37">
        <v>111</v>
      </c>
      <c r="AG115">
        <v>2014.02</v>
      </c>
      <c r="AH115">
        <v>250614</v>
      </c>
      <c r="AI115">
        <v>4</v>
      </c>
      <c r="AJ115">
        <v>254</v>
      </c>
      <c r="AK115">
        <v>37.299999999999997</v>
      </c>
      <c r="AL115">
        <v>2.98</v>
      </c>
      <c r="AM115">
        <v>3.39</v>
      </c>
      <c r="AN115">
        <v>8.93</v>
      </c>
      <c r="AO115">
        <v>11.4</v>
      </c>
      <c r="AP115" s="24">
        <v>2018.12</v>
      </c>
      <c r="AQ115">
        <v>300701</v>
      </c>
      <c r="AR115">
        <v>2</v>
      </c>
      <c r="AS115">
        <v>168</v>
      </c>
      <c r="AT115">
        <v>39.5</v>
      </c>
      <c r="AU115">
        <v>3.9</v>
      </c>
      <c r="AV115">
        <v>3.18</v>
      </c>
      <c r="AW115">
        <v>8.74</v>
      </c>
      <c r="AX115">
        <v>10.4</v>
      </c>
    </row>
    <row r="116" spans="12:50" x14ac:dyDescent="0.15">
      <c r="L116" s="37">
        <v>112</v>
      </c>
      <c r="M116">
        <v>2014.03</v>
      </c>
      <c r="N116" s="26">
        <v>250919</v>
      </c>
      <c r="O116" s="26">
        <v>1</v>
      </c>
      <c r="P116" s="26">
        <v>186</v>
      </c>
      <c r="Q116" s="26">
        <v>32.9</v>
      </c>
      <c r="R116" s="26">
        <v>3.12</v>
      </c>
      <c r="S116" s="26">
        <v>3.24</v>
      </c>
      <c r="T116" s="26">
        <v>8.68</v>
      </c>
      <c r="U116" s="33">
        <v>13.9</v>
      </c>
      <c r="V116" s="26">
        <v>2019.01</v>
      </c>
      <c r="W116" s="26">
        <v>300630</v>
      </c>
      <c r="X116" s="26">
        <v>1</v>
      </c>
      <c r="Y116" s="26">
        <v>204</v>
      </c>
      <c r="Z116" s="26">
        <v>30.4</v>
      </c>
      <c r="AA116" s="26">
        <v>4.6500000000000004</v>
      </c>
      <c r="AB116" s="26">
        <v>3.58</v>
      </c>
      <c r="AC116" s="26">
        <v>9.19</v>
      </c>
      <c r="AD116" s="26">
        <v>8.5</v>
      </c>
      <c r="AF116" s="37">
        <v>112</v>
      </c>
      <c r="AG116">
        <v>2014.03</v>
      </c>
      <c r="AH116">
        <v>251110</v>
      </c>
      <c r="AI116">
        <v>4</v>
      </c>
      <c r="AJ116">
        <v>134</v>
      </c>
      <c r="AK116">
        <v>42.6</v>
      </c>
      <c r="AL116" s="17">
        <v>4.28</v>
      </c>
      <c r="AM116">
        <v>3.2</v>
      </c>
      <c r="AN116">
        <v>8.65</v>
      </c>
      <c r="AO116">
        <v>13</v>
      </c>
      <c r="AP116" s="24">
        <v>2018.12</v>
      </c>
      <c r="AQ116">
        <v>300418</v>
      </c>
      <c r="AR116">
        <v>2</v>
      </c>
      <c r="AS116">
        <v>242</v>
      </c>
      <c r="AT116">
        <v>34.1</v>
      </c>
      <c r="AU116">
        <v>4.66</v>
      </c>
      <c r="AV116">
        <v>3.64</v>
      </c>
      <c r="AW116">
        <v>9.17</v>
      </c>
      <c r="AX116">
        <v>7.3</v>
      </c>
    </row>
    <row r="117" spans="12:50" x14ac:dyDescent="0.15">
      <c r="L117" s="37">
        <v>113</v>
      </c>
      <c r="M117">
        <v>2014.03</v>
      </c>
      <c r="N117" s="26">
        <v>250918</v>
      </c>
      <c r="O117" s="26">
        <v>1</v>
      </c>
      <c r="P117" s="26">
        <v>187</v>
      </c>
      <c r="Q117" s="26">
        <v>23.6</v>
      </c>
      <c r="R117" s="26">
        <v>3.89</v>
      </c>
      <c r="S117" s="26">
        <v>3.07</v>
      </c>
      <c r="T117" s="26">
        <v>8.34</v>
      </c>
      <c r="U117" s="33">
        <v>17</v>
      </c>
      <c r="V117" s="26">
        <v>2019.01</v>
      </c>
      <c r="W117" s="26">
        <v>300623</v>
      </c>
      <c r="X117" s="26">
        <v>1</v>
      </c>
      <c r="Y117" s="26">
        <v>211</v>
      </c>
      <c r="Z117" s="26">
        <v>31.9</v>
      </c>
      <c r="AA117" s="26">
        <v>3.38</v>
      </c>
      <c r="AB117" s="26">
        <v>3.15</v>
      </c>
      <c r="AC117" s="26">
        <v>8.68</v>
      </c>
      <c r="AD117" s="26">
        <v>12.2</v>
      </c>
      <c r="AF117" s="37">
        <v>113</v>
      </c>
      <c r="AG117">
        <v>2014.03</v>
      </c>
      <c r="AH117">
        <v>250830</v>
      </c>
      <c r="AI117">
        <v>4</v>
      </c>
      <c r="AJ117">
        <v>206</v>
      </c>
      <c r="AK117">
        <v>36.299999999999997</v>
      </c>
      <c r="AL117" s="17">
        <v>3.91</v>
      </c>
      <c r="AM117" s="17">
        <v>2.84</v>
      </c>
      <c r="AN117">
        <v>8.07</v>
      </c>
      <c r="AO117">
        <v>12</v>
      </c>
      <c r="AP117" s="24">
        <v>2018.12</v>
      </c>
      <c r="AQ117">
        <v>300409</v>
      </c>
      <c r="AR117">
        <v>2</v>
      </c>
      <c r="AS117">
        <v>251</v>
      </c>
      <c r="AT117">
        <v>17.600000000000001</v>
      </c>
      <c r="AU117">
        <v>4.53</v>
      </c>
      <c r="AV117">
        <v>3.83</v>
      </c>
      <c r="AW117">
        <v>9.15</v>
      </c>
      <c r="AX117">
        <v>11.1</v>
      </c>
    </row>
    <row r="118" spans="12:50" x14ac:dyDescent="0.15">
      <c r="L118" s="37">
        <v>114</v>
      </c>
      <c r="M118">
        <v>2014.03</v>
      </c>
      <c r="N118" s="26">
        <v>250918</v>
      </c>
      <c r="O118" s="26">
        <v>1</v>
      </c>
      <c r="P118" s="26">
        <v>187</v>
      </c>
      <c r="Q118" s="26">
        <v>35.1</v>
      </c>
      <c r="R118" s="26">
        <v>3.93</v>
      </c>
      <c r="S118" s="26">
        <v>3.26</v>
      </c>
      <c r="T118" s="26">
        <v>8.67</v>
      </c>
      <c r="U118" s="33">
        <v>13.6</v>
      </c>
      <c r="V118" s="26">
        <v>2019.01</v>
      </c>
      <c r="W118" s="26">
        <v>300619</v>
      </c>
      <c r="X118" s="26">
        <v>1</v>
      </c>
      <c r="Y118" s="26">
        <v>215</v>
      </c>
      <c r="Z118" s="26">
        <v>24.8</v>
      </c>
      <c r="AA118" s="26">
        <v>4.95</v>
      </c>
      <c r="AB118" s="26">
        <v>3.73</v>
      </c>
      <c r="AC118" s="26">
        <v>9.25</v>
      </c>
      <c r="AD118" s="26">
        <v>8.1</v>
      </c>
      <c r="AF118" s="37">
        <v>114</v>
      </c>
      <c r="AG118">
        <v>2014.03</v>
      </c>
      <c r="AH118">
        <v>250802</v>
      </c>
      <c r="AI118">
        <v>4</v>
      </c>
      <c r="AJ118">
        <v>234</v>
      </c>
      <c r="AK118">
        <v>26.9</v>
      </c>
      <c r="AL118">
        <v>4.3499999999999996</v>
      </c>
      <c r="AM118">
        <v>3.57</v>
      </c>
      <c r="AN118">
        <v>8.8800000000000008</v>
      </c>
      <c r="AO118">
        <v>16.600000000000001</v>
      </c>
      <c r="AP118" s="24">
        <v>2018.12</v>
      </c>
      <c r="AQ118">
        <v>300405</v>
      </c>
      <c r="AR118">
        <v>2</v>
      </c>
      <c r="AS118">
        <v>255</v>
      </c>
      <c r="AT118">
        <v>32.5</v>
      </c>
      <c r="AU118">
        <v>3.99</v>
      </c>
      <c r="AV118">
        <v>3.54</v>
      </c>
      <c r="AW118">
        <v>9.0299999999999994</v>
      </c>
      <c r="AX118">
        <v>7.8</v>
      </c>
    </row>
    <row r="119" spans="12:50" x14ac:dyDescent="0.15">
      <c r="L119" s="37">
        <v>115</v>
      </c>
      <c r="M119">
        <v>2014.03</v>
      </c>
      <c r="N119" s="26">
        <v>250831</v>
      </c>
      <c r="O119" s="26">
        <v>1</v>
      </c>
      <c r="P119" s="26">
        <v>205</v>
      </c>
      <c r="Q119" s="26">
        <v>38</v>
      </c>
      <c r="R119" s="26">
        <v>3.94</v>
      </c>
      <c r="S119" s="26">
        <v>2.95</v>
      </c>
      <c r="T119" s="26">
        <v>8.3699999999999992</v>
      </c>
      <c r="U119" s="33">
        <v>13.6</v>
      </c>
      <c r="V119" s="26">
        <v>2019.01</v>
      </c>
      <c r="W119" s="26">
        <v>300615</v>
      </c>
      <c r="X119" s="26">
        <v>1</v>
      </c>
      <c r="Y119" s="26">
        <v>219</v>
      </c>
      <c r="Z119" s="26">
        <v>31.1</v>
      </c>
      <c r="AA119" s="26">
        <v>4.93</v>
      </c>
      <c r="AB119" s="26">
        <v>3.62</v>
      </c>
      <c r="AC119" s="26">
        <v>9.31</v>
      </c>
      <c r="AD119" s="26">
        <v>9.8000000000000007</v>
      </c>
      <c r="AF119" s="37">
        <v>115</v>
      </c>
      <c r="AG119">
        <v>2014.03</v>
      </c>
      <c r="AH119">
        <v>250619</v>
      </c>
      <c r="AI119">
        <v>4</v>
      </c>
      <c r="AJ119">
        <v>278</v>
      </c>
      <c r="AK119">
        <v>28</v>
      </c>
      <c r="AL119">
        <v>3.91</v>
      </c>
      <c r="AM119">
        <v>3.21</v>
      </c>
      <c r="AN119">
        <v>8.81</v>
      </c>
      <c r="AO119">
        <v>11.8</v>
      </c>
      <c r="AP119" s="24">
        <v>2018.12</v>
      </c>
      <c r="AQ119">
        <v>300315</v>
      </c>
      <c r="AR119">
        <v>2</v>
      </c>
      <c r="AS119">
        <v>276</v>
      </c>
      <c r="AT119">
        <v>27.3</v>
      </c>
      <c r="AU119">
        <v>4.66</v>
      </c>
      <c r="AV119">
        <v>4.25</v>
      </c>
      <c r="AW119">
        <v>9.3000000000000007</v>
      </c>
      <c r="AX119">
        <v>8.9</v>
      </c>
    </row>
    <row r="120" spans="12:50" x14ac:dyDescent="0.15">
      <c r="L120" s="37">
        <v>116</v>
      </c>
      <c r="M120">
        <v>2014.03</v>
      </c>
      <c r="N120" s="26">
        <v>250829</v>
      </c>
      <c r="O120" s="26">
        <v>1</v>
      </c>
      <c r="P120" s="26">
        <v>207</v>
      </c>
      <c r="Q120" s="26">
        <v>34.799999999999997</v>
      </c>
      <c r="R120" s="26">
        <v>4.07</v>
      </c>
      <c r="S120" s="26">
        <v>3.2</v>
      </c>
      <c r="T120" s="26">
        <v>8.81</v>
      </c>
      <c r="U120" s="33">
        <v>14</v>
      </c>
      <c r="V120" s="26">
        <v>2019.01</v>
      </c>
      <c r="W120" s="26">
        <v>300612</v>
      </c>
      <c r="X120" s="26">
        <v>1</v>
      </c>
      <c r="Y120" s="26">
        <v>222</v>
      </c>
      <c r="Z120" s="26">
        <v>27.9</v>
      </c>
      <c r="AA120" s="26">
        <v>3.48</v>
      </c>
      <c r="AB120" s="26">
        <v>3.05</v>
      </c>
      <c r="AC120" s="26">
        <v>8.4600000000000009</v>
      </c>
      <c r="AD120" s="26">
        <v>5.3</v>
      </c>
      <c r="AF120" s="37">
        <v>116</v>
      </c>
      <c r="AG120">
        <v>2016.01</v>
      </c>
      <c r="AH120">
        <v>271006</v>
      </c>
      <c r="AI120">
        <v>4</v>
      </c>
      <c r="AJ120">
        <v>108</v>
      </c>
      <c r="AK120">
        <v>31.6</v>
      </c>
      <c r="AL120">
        <v>2.85</v>
      </c>
      <c r="AM120">
        <v>3.31</v>
      </c>
      <c r="AN120">
        <v>9.11</v>
      </c>
      <c r="AO120">
        <v>10.8</v>
      </c>
      <c r="AP120" s="24">
        <v>2019.01</v>
      </c>
      <c r="AQ120">
        <v>300926</v>
      </c>
      <c r="AR120">
        <v>2</v>
      </c>
      <c r="AS120">
        <v>116</v>
      </c>
      <c r="AT120">
        <v>38.200000000000003</v>
      </c>
      <c r="AU120">
        <v>4.3</v>
      </c>
      <c r="AV120">
        <v>2.79</v>
      </c>
      <c r="AW120">
        <v>8.3000000000000007</v>
      </c>
      <c r="AX120">
        <v>8.4</v>
      </c>
    </row>
    <row r="121" spans="12:50" x14ac:dyDescent="0.15">
      <c r="L121" s="37">
        <v>117</v>
      </c>
      <c r="M121">
        <v>2014.03</v>
      </c>
      <c r="N121" s="26">
        <v>250825</v>
      </c>
      <c r="O121" s="26">
        <v>1</v>
      </c>
      <c r="P121" s="26">
        <v>211</v>
      </c>
      <c r="Q121" s="26">
        <v>40</v>
      </c>
      <c r="R121" s="26">
        <v>4.0599999999999996</v>
      </c>
      <c r="S121" s="26">
        <v>3.1</v>
      </c>
      <c r="T121" s="26">
        <v>8.75</v>
      </c>
      <c r="U121" s="33">
        <v>13.7</v>
      </c>
      <c r="V121" s="26">
        <v>2019.01</v>
      </c>
      <c r="W121" s="26">
        <v>300604</v>
      </c>
      <c r="X121" s="26">
        <v>1</v>
      </c>
      <c r="Y121" s="26">
        <v>230</v>
      </c>
      <c r="Z121" s="26">
        <v>31.5</v>
      </c>
      <c r="AA121" s="26">
        <v>4.13</v>
      </c>
      <c r="AB121" s="26">
        <v>3.48</v>
      </c>
      <c r="AC121" s="26">
        <v>8.68</v>
      </c>
      <c r="AD121" s="26">
        <v>10.5</v>
      </c>
      <c r="AF121" s="37">
        <v>117</v>
      </c>
      <c r="AG121">
        <v>2016.02</v>
      </c>
      <c r="AH121">
        <v>271006</v>
      </c>
      <c r="AI121">
        <v>4</v>
      </c>
      <c r="AJ121">
        <v>138</v>
      </c>
      <c r="AK121">
        <v>33.9</v>
      </c>
      <c r="AL121">
        <v>3.95</v>
      </c>
      <c r="AM121">
        <v>3.15</v>
      </c>
      <c r="AN121">
        <v>8.94</v>
      </c>
      <c r="AO121">
        <v>10.1</v>
      </c>
      <c r="AP121" s="24">
        <v>2019.01</v>
      </c>
      <c r="AQ121">
        <v>300919</v>
      </c>
      <c r="AR121">
        <v>2</v>
      </c>
      <c r="AS121">
        <v>123</v>
      </c>
      <c r="AT121">
        <v>23.7</v>
      </c>
      <c r="AU121">
        <v>2.94</v>
      </c>
      <c r="AV121">
        <v>8.2799999999999994</v>
      </c>
      <c r="AW121">
        <v>8.09</v>
      </c>
      <c r="AX121">
        <v>11.1</v>
      </c>
    </row>
    <row r="122" spans="12:50" x14ac:dyDescent="0.15">
      <c r="L122" s="37">
        <v>118</v>
      </c>
      <c r="M122">
        <v>2014.03</v>
      </c>
      <c r="N122" s="26">
        <v>250818</v>
      </c>
      <c r="O122" s="26">
        <v>1</v>
      </c>
      <c r="P122" s="26">
        <v>218</v>
      </c>
      <c r="Q122" s="26">
        <v>26.4</v>
      </c>
      <c r="R122" s="26">
        <v>4.1100000000000003</v>
      </c>
      <c r="S122" s="26">
        <v>3.14</v>
      </c>
      <c r="T122" s="26">
        <v>8.5500000000000007</v>
      </c>
      <c r="U122" s="33">
        <v>12.6</v>
      </c>
      <c r="V122" s="26">
        <v>2019.01</v>
      </c>
      <c r="W122" s="26">
        <v>300601</v>
      </c>
      <c r="X122" s="26">
        <v>1</v>
      </c>
      <c r="Y122" s="26">
        <v>233</v>
      </c>
      <c r="Z122" s="26">
        <v>26.6</v>
      </c>
      <c r="AA122" s="26">
        <v>3.56</v>
      </c>
      <c r="AB122" s="26">
        <v>3.42</v>
      </c>
      <c r="AC122" s="26">
        <v>9.02</v>
      </c>
      <c r="AD122" s="26">
        <v>8.5</v>
      </c>
      <c r="AF122" s="37">
        <v>118</v>
      </c>
      <c r="AG122">
        <v>2016.03</v>
      </c>
      <c r="AH122">
        <v>271006</v>
      </c>
      <c r="AI122">
        <v>4</v>
      </c>
      <c r="AJ122">
        <v>164</v>
      </c>
      <c r="AK122">
        <v>26.2</v>
      </c>
      <c r="AL122">
        <v>3.37</v>
      </c>
      <c r="AM122">
        <v>3.26</v>
      </c>
      <c r="AN122">
        <v>8.8699999999999992</v>
      </c>
      <c r="AO122">
        <v>12.4</v>
      </c>
      <c r="AP122" s="24">
        <v>2019.01</v>
      </c>
      <c r="AQ122">
        <v>300915</v>
      </c>
      <c r="AR122">
        <v>2</v>
      </c>
      <c r="AS122">
        <v>127</v>
      </c>
      <c r="AT122">
        <v>35.700000000000003</v>
      </c>
      <c r="AU122">
        <v>3.75</v>
      </c>
      <c r="AV122">
        <v>2.74</v>
      </c>
      <c r="AW122">
        <v>8.26</v>
      </c>
      <c r="AX122">
        <v>11.5</v>
      </c>
    </row>
    <row r="123" spans="12:50" x14ac:dyDescent="0.15">
      <c r="L123" s="37">
        <v>119</v>
      </c>
      <c r="M123">
        <v>2014.03</v>
      </c>
      <c r="N123" s="26">
        <v>250817</v>
      </c>
      <c r="O123" s="26">
        <v>1</v>
      </c>
      <c r="P123" s="26">
        <v>219</v>
      </c>
      <c r="Q123" s="26">
        <v>39.5</v>
      </c>
      <c r="R123" s="26">
        <v>3.95</v>
      </c>
      <c r="S123" s="26">
        <v>3.39</v>
      </c>
      <c r="T123" s="26">
        <v>8.91</v>
      </c>
      <c r="U123" s="33">
        <v>13.5</v>
      </c>
      <c r="V123" s="26">
        <v>2019.01</v>
      </c>
      <c r="W123" s="26">
        <v>300524</v>
      </c>
      <c r="X123" s="26">
        <v>1</v>
      </c>
      <c r="Y123" s="26">
        <v>241</v>
      </c>
      <c r="Z123" s="26">
        <v>31.5</v>
      </c>
      <c r="AA123" s="26">
        <v>3.95</v>
      </c>
      <c r="AB123" s="26">
        <v>3.46</v>
      </c>
      <c r="AC123" s="26">
        <v>8.91</v>
      </c>
      <c r="AD123" s="26">
        <v>8.5</v>
      </c>
      <c r="AF123" s="37">
        <v>119</v>
      </c>
      <c r="AG123"/>
      <c r="AH123"/>
      <c r="AI123"/>
      <c r="AJ123"/>
      <c r="AK123"/>
      <c r="AL123"/>
      <c r="AM123"/>
      <c r="AN123"/>
      <c r="AO123"/>
      <c r="AP123" s="24">
        <v>2019.01</v>
      </c>
      <c r="AQ123">
        <v>300903</v>
      </c>
      <c r="AR123">
        <v>2</v>
      </c>
      <c r="AS123">
        <v>139</v>
      </c>
      <c r="AT123">
        <v>37.700000000000003</v>
      </c>
      <c r="AU123">
        <v>2.95</v>
      </c>
      <c r="AV123">
        <v>3.12</v>
      </c>
      <c r="AW123">
        <v>8.58</v>
      </c>
      <c r="AX123">
        <v>7.7</v>
      </c>
    </row>
    <row r="124" spans="12:50" x14ac:dyDescent="0.15">
      <c r="L124" s="37">
        <v>120</v>
      </c>
      <c r="M124">
        <v>2014.03</v>
      </c>
      <c r="N124" s="26">
        <v>250807</v>
      </c>
      <c r="O124" s="26">
        <v>1</v>
      </c>
      <c r="P124" s="26">
        <v>229</v>
      </c>
      <c r="Q124" s="26">
        <v>37.200000000000003</v>
      </c>
      <c r="R124" s="26">
        <v>3.61</v>
      </c>
      <c r="S124" s="26">
        <v>3.19</v>
      </c>
      <c r="T124" s="26">
        <v>8.86</v>
      </c>
      <c r="U124" s="33">
        <v>14.5</v>
      </c>
      <c r="V124" s="26">
        <v>2019.01</v>
      </c>
      <c r="W124" s="26">
        <v>300519</v>
      </c>
      <c r="X124" s="26">
        <v>1</v>
      </c>
      <c r="Y124" s="26">
        <v>246</v>
      </c>
      <c r="Z124" s="26">
        <v>26.2</v>
      </c>
      <c r="AA124" s="26">
        <v>4.33</v>
      </c>
      <c r="AB124" s="26">
        <v>3.56</v>
      </c>
      <c r="AC124" s="26">
        <v>9.18</v>
      </c>
      <c r="AD124" s="26">
        <v>7.4</v>
      </c>
      <c r="AF124" s="37">
        <v>120</v>
      </c>
      <c r="AG124"/>
      <c r="AH124"/>
      <c r="AI124"/>
      <c r="AJ124"/>
      <c r="AK124"/>
      <c r="AL124" s="17"/>
      <c r="AM124" s="17"/>
      <c r="AN124"/>
      <c r="AO124" s="17"/>
      <c r="AP124" s="24">
        <v>2019.01</v>
      </c>
      <c r="AQ124">
        <v>300829</v>
      </c>
      <c r="AR124">
        <v>2</v>
      </c>
      <c r="AS124">
        <v>144</v>
      </c>
      <c r="AT124">
        <v>16.3</v>
      </c>
      <c r="AU124">
        <v>5.33</v>
      </c>
      <c r="AV124">
        <v>3.24</v>
      </c>
      <c r="AW124">
        <v>8.4499999999999993</v>
      </c>
      <c r="AX124">
        <v>7.2</v>
      </c>
    </row>
    <row r="125" spans="12:50" x14ac:dyDescent="0.15">
      <c r="L125" s="37">
        <v>121</v>
      </c>
      <c r="M125">
        <v>2014.03</v>
      </c>
      <c r="N125" s="26">
        <v>250804</v>
      </c>
      <c r="O125" s="26">
        <v>1</v>
      </c>
      <c r="P125" s="26">
        <v>232</v>
      </c>
      <c r="Q125" s="26">
        <v>22.5</v>
      </c>
      <c r="R125" s="26">
        <v>3.98</v>
      </c>
      <c r="S125" s="26">
        <v>3.33</v>
      </c>
      <c r="T125" s="26">
        <v>8.76</v>
      </c>
      <c r="U125" s="33">
        <v>13.2</v>
      </c>
      <c r="V125" s="26">
        <v>2019.01</v>
      </c>
      <c r="W125" s="26">
        <v>300519</v>
      </c>
      <c r="X125" s="26">
        <v>1</v>
      </c>
      <c r="Y125" s="26">
        <v>246</v>
      </c>
      <c r="Z125" s="26">
        <v>33.200000000000003</v>
      </c>
      <c r="AA125" s="26">
        <v>4.6100000000000003</v>
      </c>
      <c r="AB125" s="26">
        <v>2.9</v>
      </c>
      <c r="AC125" s="26">
        <v>8.36</v>
      </c>
      <c r="AD125" s="26">
        <v>8.6</v>
      </c>
      <c r="AF125" s="37">
        <v>121</v>
      </c>
      <c r="AG125"/>
      <c r="AH125"/>
      <c r="AI125"/>
      <c r="AJ125"/>
      <c r="AK125"/>
      <c r="AL125"/>
      <c r="AM125"/>
      <c r="AN125"/>
      <c r="AO125"/>
      <c r="AP125" s="24">
        <v>2019.01</v>
      </c>
      <c r="AQ125">
        <v>300829</v>
      </c>
      <c r="AR125">
        <v>2</v>
      </c>
      <c r="AS125">
        <v>144</v>
      </c>
      <c r="AT125">
        <v>32.1</v>
      </c>
      <c r="AU125">
        <v>4.97</v>
      </c>
      <c r="AV125">
        <v>3.73</v>
      </c>
      <c r="AW125">
        <v>9.14</v>
      </c>
      <c r="AX125">
        <v>7.9</v>
      </c>
    </row>
    <row r="126" spans="12:50" x14ac:dyDescent="0.15">
      <c r="L126" s="37">
        <v>122</v>
      </c>
      <c r="M126">
        <v>2014.03</v>
      </c>
      <c r="N126" s="26">
        <v>250802</v>
      </c>
      <c r="O126" s="26">
        <v>1</v>
      </c>
      <c r="P126" s="26">
        <v>234</v>
      </c>
      <c r="Q126" s="26">
        <v>31.3</v>
      </c>
      <c r="R126" s="26">
        <v>4.6500000000000004</v>
      </c>
      <c r="S126" s="26">
        <v>3.43</v>
      </c>
      <c r="T126" s="26">
        <v>9.07</v>
      </c>
      <c r="U126" s="33">
        <v>13</v>
      </c>
      <c r="V126" s="26">
        <v>2019.01</v>
      </c>
      <c r="W126" s="26">
        <v>300516</v>
      </c>
      <c r="X126" s="26">
        <v>1</v>
      </c>
      <c r="Y126" s="26">
        <v>249</v>
      </c>
      <c r="Z126" s="26">
        <v>35.799999999999997</v>
      </c>
      <c r="AA126" s="26">
        <v>3.57</v>
      </c>
      <c r="AB126" s="26">
        <v>3.18</v>
      </c>
      <c r="AC126" s="26">
        <v>8.85</v>
      </c>
      <c r="AD126" s="26">
        <v>9.5</v>
      </c>
      <c r="AF126" s="37">
        <v>122</v>
      </c>
      <c r="AG126"/>
      <c r="AH126"/>
      <c r="AI126"/>
      <c r="AJ126"/>
      <c r="AK126"/>
      <c r="AL126"/>
      <c r="AM126"/>
      <c r="AN126"/>
      <c r="AO126"/>
      <c r="AP126" s="24">
        <v>2019.01</v>
      </c>
      <c r="AQ126">
        <v>300822</v>
      </c>
      <c r="AR126">
        <v>2</v>
      </c>
      <c r="AS126">
        <v>151</v>
      </c>
      <c r="AT126">
        <v>36.799999999999997</v>
      </c>
      <c r="AU126">
        <v>4.3499999999999996</v>
      </c>
      <c r="AV126">
        <v>3.1</v>
      </c>
      <c r="AW126">
        <v>8.32</v>
      </c>
      <c r="AX126">
        <v>7.1</v>
      </c>
    </row>
    <row r="127" spans="12:50" x14ac:dyDescent="0.15">
      <c r="L127" s="37">
        <v>123</v>
      </c>
      <c r="M127">
        <v>2014.03</v>
      </c>
      <c r="N127" s="26">
        <v>250724</v>
      </c>
      <c r="O127" s="26">
        <v>1</v>
      </c>
      <c r="P127" s="26">
        <v>243</v>
      </c>
      <c r="Q127" s="26">
        <v>37.700000000000003</v>
      </c>
      <c r="R127" s="26">
        <v>3.6</v>
      </c>
      <c r="S127" s="26">
        <v>2.95</v>
      </c>
      <c r="T127" s="26">
        <v>8.5399999999999991</v>
      </c>
      <c r="U127" s="33">
        <v>15.2</v>
      </c>
      <c r="V127" s="26">
        <v>2019.02</v>
      </c>
      <c r="W127" s="26">
        <v>300924</v>
      </c>
      <c r="X127" s="26">
        <v>1</v>
      </c>
      <c r="Y127" s="26">
        <v>146</v>
      </c>
      <c r="Z127" s="26">
        <v>33.700000000000003</v>
      </c>
      <c r="AA127" s="26">
        <v>4.6900000000000004</v>
      </c>
      <c r="AB127" s="26">
        <v>2.91</v>
      </c>
      <c r="AC127" s="26">
        <v>8.4600000000000009</v>
      </c>
      <c r="AD127" s="26">
        <v>9</v>
      </c>
      <c r="AF127" s="37">
        <v>123</v>
      </c>
      <c r="AG127"/>
      <c r="AH127"/>
      <c r="AI127"/>
      <c r="AJ127"/>
      <c r="AK127"/>
      <c r="AL127"/>
      <c r="AM127"/>
      <c r="AN127"/>
      <c r="AO127"/>
      <c r="AP127" s="24">
        <v>2019.01</v>
      </c>
      <c r="AQ127">
        <v>300803</v>
      </c>
      <c r="AR127">
        <v>2</v>
      </c>
      <c r="AS127">
        <v>170</v>
      </c>
      <c r="AT127">
        <v>39.299999999999997</v>
      </c>
      <c r="AU127">
        <v>4.16</v>
      </c>
      <c r="AV127">
        <v>3.47</v>
      </c>
      <c r="AW127">
        <v>8.3699999999999992</v>
      </c>
      <c r="AX127">
        <v>10.4</v>
      </c>
    </row>
    <row r="128" spans="12:50" x14ac:dyDescent="0.15">
      <c r="L128" s="37">
        <v>124</v>
      </c>
      <c r="M128">
        <v>2014.03</v>
      </c>
      <c r="N128" s="26">
        <v>250712</v>
      </c>
      <c r="O128" s="26">
        <v>1</v>
      </c>
      <c r="P128" s="26">
        <v>255</v>
      </c>
      <c r="Q128" s="26">
        <v>35.299999999999997</v>
      </c>
      <c r="R128" s="26">
        <v>3.35</v>
      </c>
      <c r="S128" s="26">
        <v>3.1</v>
      </c>
      <c r="T128" s="26">
        <v>8.67</v>
      </c>
      <c r="U128" s="33">
        <v>14.7</v>
      </c>
      <c r="V128" s="26">
        <v>2019.02</v>
      </c>
      <c r="W128" s="26">
        <v>300910</v>
      </c>
      <c r="X128" s="26">
        <v>1</v>
      </c>
      <c r="Y128" s="26">
        <v>160</v>
      </c>
      <c r="Z128" s="26">
        <v>26.9</v>
      </c>
      <c r="AA128" s="26">
        <v>4.79</v>
      </c>
      <c r="AB128" s="26">
        <v>3.72</v>
      </c>
      <c r="AC128" s="26">
        <v>9.3699999999999992</v>
      </c>
      <c r="AD128" s="26">
        <v>9.5</v>
      </c>
      <c r="AF128" s="37">
        <v>124</v>
      </c>
      <c r="AG128"/>
      <c r="AH128"/>
      <c r="AI128"/>
      <c r="AJ128"/>
      <c r="AK128"/>
      <c r="AL128"/>
      <c r="AM128"/>
      <c r="AN128"/>
      <c r="AO128"/>
      <c r="AP128" s="24">
        <v>2019.01</v>
      </c>
      <c r="AQ128">
        <v>300727</v>
      </c>
      <c r="AR128">
        <v>2</v>
      </c>
      <c r="AS128">
        <v>177</v>
      </c>
      <c r="AT128">
        <v>32.9</v>
      </c>
      <c r="AU128">
        <v>4.01</v>
      </c>
      <c r="AV128">
        <v>2.91</v>
      </c>
      <c r="AW128">
        <v>8.1</v>
      </c>
      <c r="AX128">
        <v>7.7</v>
      </c>
    </row>
    <row r="129" spans="12:50" x14ac:dyDescent="0.15">
      <c r="L129" s="37">
        <v>125</v>
      </c>
      <c r="M129">
        <v>2014.03</v>
      </c>
      <c r="N129" s="26">
        <v>250712</v>
      </c>
      <c r="O129" s="26">
        <v>1</v>
      </c>
      <c r="P129" s="26">
        <v>255</v>
      </c>
      <c r="Q129" s="26">
        <v>29.1</v>
      </c>
      <c r="R129" s="26">
        <v>4.4400000000000004</v>
      </c>
      <c r="S129" s="26">
        <v>3.3</v>
      </c>
      <c r="T129" s="26">
        <v>8.89</v>
      </c>
      <c r="U129" s="33">
        <v>15.5</v>
      </c>
      <c r="V129" s="26">
        <v>2019.02</v>
      </c>
      <c r="W129" s="26">
        <v>300906</v>
      </c>
      <c r="X129" s="26">
        <v>1</v>
      </c>
      <c r="Y129" s="26">
        <v>164</v>
      </c>
      <c r="Z129" s="26">
        <v>33.299999999999997</v>
      </c>
      <c r="AA129" s="26">
        <v>3.82</v>
      </c>
      <c r="AB129" s="26">
        <v>3.08</v>
      </c>
      <c r="AC129" s="26">
        <v>8.5299999999999994</v>
      </c>
      <c r="AD129" s="26">
        <v>7.5</v>
      </c>
      <c r="AF129" s="37">
        <v>125</v>
      </c>
      <c r="AG129"/>
      <c r="AH129"/>
      <c r="AI129"/>
      <c r="AJ129"/>
      <c r="AK129"/>
      <c r="AL129" s="17"/>
      <c r="AM129" s="17"/>
      <c r="AN129"/>
      <c r="AO129"/>
      <c r="AP129" s="24">
        <v>2019.01</v>
      </c>
      <c r="AQ129">
        <v>300723</v>
      </c>
      <c r="AR129">
        <v>2</v>
      </c>
      <c r="AS129">
        <v>181</v>
      </c>
      <c r="AT129">
        <v>32.299999999999997</v>
      </c>
      <c r="AU129">
        <v>4.05</v>
      </c>
      <c r="AV129">
        <v>3.51</v>
      </c>
      <c r="AW129">
        <v>8.6</v>
      </c>
      <c r="AX129">
        <v>8.1</v>
      </c>
    </row>
    <row r="130" spans="12:50" x14ac:dyDescent="0.15">
      <c r="L130" s="37">
        <v>126</v>
      </c>
      <c r="M130">
        <v>2014.03</v>
      </c>
      <c r="N130" s="26">
        <v>250620</v>
      </c>
      <c r="O130" s="26">
        <v>1</v>
      </c>
      <c r="P130" s="26">
        <v>277</v>
      </c>
      <c r="Q130" s="26">
        <v>27.7</v>
      </c>
      <c r="R130" s="27">
        <v>4.05</v>
      </c>
      <c r="S130" s="27">
        <v>3.25</v>
      </c>
      <c r="T130" s="26">
        <v>8.74</v>
      </c>
      <c r="U130" s="33">
        <v>13.9</v>
      </c>
      <c r="V130" s="26">
        <v>2019.02</v>
      </c>
      <c r="W130" s="26">
        <v>300804</v>
      </c>
      <c r="X130" s="26">
        <v>1</v>
      </c>
      <c r="Y130" s="26">
        <v>197</v>
      </c>
      <c r="Z130" s="26">
        <v>32.6</v>
      </c>
      <c r="AA130" s="26">
        <v>3.88</v>
      </c>
      <c r="AB130" s="26">
        <v>3.31</v>
      </c>
      <c r="AC130" s="26">
        <v>8.86</v>
      </c>
      <c r="AD130" s="26">
        <v>9.1</v>
      </c>
      <c r="AF130" s="37">
        <v>126</v>
      </c>
      <c r="AG130"/>
      <c r="AH130"/>
      <c r="AI130"/>
      <c r="AJ130"/>
      <c r="AK130"/>
      <c r="AL130"/>
      <c r="AM130"/>
      <c r="AN130"/>
      <c r="AO130"/>
      <c r="AP130" s="24">
        <v>2019.01</v>
      </c>
      <c r="AQ130">
        <v>300709</v>
      </c>
      <c r="AR130">
        <v>2</v>
      </c>
      <c r="AS130">
        <v>195</v>
      </c>
      <c r="AT130">
        <v>35.200000000000003</v>
      </c>
      <c r="AU130">
        <v>4.1500000000000004</v>
      </c>
      <c r="AV130">
        <v>3</v>
      </c>
      <c r="AW130">
        <v>8.56</v>
      </c>
      <c r="AX130">
        <v>10</v>
      </c>
    </row>
    <row r="131" spans="12:50" x14ac:dyDescent="0.15">
      <c r="L131" s="37">
        <v>127</v>
      </c>
      <c r="M131">
        <v>2014.03</v>
      </c>
      <c r="N131" s="26">
        <v>250618</v>
      </c>
      <c r="O131" s="26">
        <v>1</v>
      </c>
      <c r="P131" s="26">
        <v>279</v>
      </c>
      <c r="Q131" s="26">
        <v>16</v>
      </c>
      <c r="R131" s="26">
        <v>4.49</v>
      </c>
      <c r="S131" s="26">
        <v>3.52</v>
      </c>
      <c r="T131" s="26">
        <v>9.01</v>
      </c>
      <c r="U131" s="33">
        <v>12.4</v>
      </c>
      <c r="V131" s="26">
        <v>2019.02</v>
      </c>
      <c r="W131" s="26">
        <v>300731</v>
      </c>
      <c r="X131" s="26">
        <v>1</v>
      </c>
      <c r="Y131" s="26">
        <v>201</v>
      </c>
      <c r="Z131" s="26">
        <v>26.4</v>
      </c>
      <c r="AA131" s="26">
        <v>4.84</v>
      </c>
      <c r="AB131" s="26">
        <v>2.89</v>
      </c>
      <c r="AC131" s="26">
        <v>8.61</v>
      </c>
      <c r="AD131" s="26">
        <v>9</v>
      </c>
      <c r="AF131" s="37">
        <v>127</v>
      </c>
      <c r="AG131"/>
      <c r="AH131"/>
      <c r="AI131"/>
      <c r="AJ131"/>
      <c r="AK131"/>
      <c r="AL131"/>
      <c r="AM131"/>
      <c r="AN131"/>
      <c r="AO131"/>
      <c r="AP131" s="24">
        <v>2019.01</v>
      </c>
      <c r="AQ131">
        <v>300701</v>
      </c>
      <c r="AR131">
        <v>2</v>
      </c>
      <c r="AS131">
        <v>203</v>
      </c>
      <c r="AT131">
        <v>39.9</v>
      </c>
      <c r="AU131">
        <v>4.34</v>
      </c>
      <c r="AV131">
        <v>3.22</v>
      </c>
      <c r="AW131">
        <v>8.81</v>
      </c>
      <c r="AX131">
        <v>10.199999999999999</v>
      </c>
    </row>
    <row r="132" spans="12:50" x14ac:dyDescent="0.15">
      <c r="L132" s="37">
        <v>128</v>
      </c>
      <c r="M132">
        <v>2014.03</v>
      </c>
      <c r="N132" s="26">
        <v>250617</v>
      </c>
      <c r="O132" s="26">
        <v>1</v>
      </c>
      <c r="P132" s="26">
        <v>280</v>
      </c>
      <c r="Q132" s="26">
        <v>29.8</v>
      </c>
      <c r="R132" s="26">
        <v>4.0199999999999996</v>
      </c>
      <c r="S132" s="26">
        <v>3.47</v>
      </c>
      <c r="T132" s="26">
        <v>9.01</v>
      </c>
      <c r="U132" s="33">
        <v>13.6</v>
      </c>
      <c r="V132" s="26">
        <v>2019.02</v>
      </c>
      <c r="W132" s="26">
        <v>300630</v>
      </c>
      <c r="X132" s="26">
        <v>1</v>
      </c>
      <c r="Y132" s="26">
        <v>232</v>
      </c>
      <c r="Z132" s="26">
        <v>30.4</v>
      </c>
      <c r="AA132" s="26">
        <v>4.5</v>
      </c>
      <c r="AB132" s="26">
        <v>3.63</v>
      </c>
      <c r="AC132" s="26">
        <v>9.26</v>
      </c>
      <c r="AD132" s="26">
        <v>9</v>
      </c>
      <c r="AF132" s="37">
        <v>128</v>
      </c>
      <c r="AG132"/>
      <c r="AH132"/>
      <c r="AI132"/>
      <c r="AJ132"/>
      <c r="AK132"/>
      <c r="AL132"/>
      <c r="AM132"/>
      <c r="AN132"/>
      <c r="AO132"/>
      <c r="AP132" s="24">
        <v>2019.01</v>
      </c>
      <c r="AQ132">
        <v>300418</v>
      </c>
      <c r="AR132">
        <v>2</v>
      </c>
      <c r="AS132">
        <v>277</v>
      </c>
      <c r="AT132">
        <v>32.200000000000003</v>
      </c>
      <c r="AU132">
        <v>4.43</v>
      </c>
      <c r="AV132">
        <v>3.73</v>
      </c>
      <c r="AW132">
        <v>9.32</v>
      </c>
      <c r="AX132">
        <v>7.4</v>
      </c>
    </row>
    <row r="133" spans="12:50" x14ac:dyDescent="0.15">
      <c r="L133" s="37">
        <v>129</v>
      </c>
      <c r="M133">
        <v>2014.03</v>
      </c>
      <c r="N133" s="26">
        <v>250607</v>
      </c>
      <c r="O133" s="26">
        <v>1</v>
      </c>
      <c r="P133" s="26">
        <v>290</v>
      </c>
      <c r="Q133" s="26">
        <v>32.799999999999997</v>
      </c>
      <c r="R133" s="26">
        <v>3.74</v>
      </c>
      <c r="S133" s="26">
        <v>3.15</v>
      </c>
      <c r="T133" s="26">
        <v>8.77</v>
      </c>
      <c r="U133" s="33">
        <v>16.8</v>
      </c>
      <c r="V133" s="26">
        <v>2019.02</v>
      </c>
      <c r="W133" s="26">
        <v>300623</v>
      </c>
      <c r="X133" s="26">
        <v>1</v>
      </c>
      <c r="Y133" s="26">
        <v>239</v>
      </c>
      <c r="Z133" s="26">
        <v>33.1</v>
      </c>
      <c r="AA133" s="26">
        <v>3.22</v>
      </c>
      <c r="AB133" s="26">
        <v>3.17</v>
      </c>
      <c r="AC133" s="26">
        <v>8.7100000000000009</v>
      </c>
      <c r="AD133" s="26">
        <v>10.4</v>
      </c>
      <c r="AF133" s="37">
        <v>129</v>
      </c>
      <c r="AG133"/>
      <c r="AH133"/>
      <c r="AI133"/>
      <c r="AJ133"/>
      <c r="AK133"/>
      <c r="AL133"/>
      <c r="AM133"/>
      <c r="AN133"/>
      <c r="AO133"/>
      <c r="AP133" s="24">
        <v>2019.01</v>
      </c>
      <c r="AQ133">
        <v>300409</v>
      </c>
      <c r="AR133">
        <v>2</v>
      </c>
      <c r="AS133">
        <v>286</v>
      </c>
      <c r="AT133">
        <v>8.9</v>
      </c>
      <c r="AU133">
        <v>4.16</v>
      </c>
      <c r="AV133">
        <v>3.54</v>
      </c>
      <c r="AW133">
        <v>8.36</v>
      </c>
      <c r="AX133">
        <v>12.5</v>
      </c>
    </row>
    <row r="134" spans="12:50" x14ac:dyDescent="0.15">
      <c r="L134" s="37">
        <v>130</v>
      </c>
      <c r="M134">
        <v>2015.11</v>
      </c>
      <c r="N134" s="26">
        <v>270804</v>
      </c>
      <c r="O134" s="26">
        <v>1</v>
      </c>
      <c r="P134" s="26">
        <v>108</v>
      </c>
      <c r="Q134" s="26">
        <v>32</v>
      </c>
      <c r="R134" s="26">
        <v>4.08</v>
      </c>
      <c r="S134" s="26">
        <v>3.29</v>
      </c>
      <c r="T134" s="26">
        <v>8.9</v>
      </c>
      <c r="U134" s="33">
        <v>8.5</v>
      </c>
      <c r="V134" s="26">
        <v>2019.02</v>
      </c>
      <c r="W134" s="26">
        <v>300619</v>
      </c>
      <c r="X134" s="26">
        <v>1</v>
      </c>
      <c r="Y134" s="26">
        <v>243</v>
      </c>
      <c r="Z134" s="26">
        <v>24.4</v>
      </c>
      <c r="AA134" s="26">
        <v>5.01</v>
      </c>
      <c r="AB134" s="26">
        <v>3.83</v>
      </c>
      <c r="AC134" s="26">
        <v>9.39</v>
      </c>
      <c r="AD134" s="26">
        <v>13.9</v>
      </c>
      <c r="AF134" s="37">
        <v>130</v>
      </c>
      <c r="AG134"/>
      <c r="AH134"/>
      <c r="AI134"/>
      <c r="AJ134"/>
      <c r="AK134"/>
      <c r="AL134"/>
      <c r="AM134"/>
      <c r="AN134"/>
      <c r="AO134"/>
      <c r="AP134" s="24">
        <v>2019.01</v>
      </c>
      <c r="AQ134">
        <v>300405</v>
      </c>
      <c r="AR134">
        <v>2</v>
      </c>
      <c r="AS134">
        <v>290</v>
      </c>
      <c r="AT134">
        <v>30.7</v>
      </c>
      <c r="AU134">
        <v>3.82</v>
      </c>
      <c r="AV134">
        <v>3.61</v>
      </c>
      <c r="AW134">
        <v>9.01</v>
      </c>
      <c r="AX134">
        <v>8.5</v>
      </c>
    </row>
    <row r="135" spans="12:50" x14ac:dyDescent="0.15">
      <c r="L135" s="37">
        <v>131</v>
      </c>
      <c r="M135">
        <v>2015.11</v>
      </c>
      <c r="N135" s="26">
        <v>270730</v>
      </c>
      <c r="O135" s="26">
        <v>1</v>
      </c>
      <c r="P135" s="26">
        <v>113</v>
      </c>
      <c r="Q135" s="26">
        <v>45.3</v>
      </c>
      <c r="R135" s="26">
        <v>3.55</v>
      </c>
      <c r="S135" s="26">
        <v>2.82</v>
      </c>
      <c r="T135" s="26">
        <v>8.3000000000000007</v>
      </c>
      <c r="U135" s="33">
        <v>10.9</v>
      </c>
      <c r="V135" s="26">
        <v>2019.02</v>
      </c>
      <c r="W135" s="26">
        <v>300615</v>
      </c>
      <c r="X135" s="26">
        <v>1</v>
      </c>
      <c r="Y135" s="26">
        <v>247</v>
      </c>
      <c r="Z135" s="26">
        <v>31.2</v>
      </c>
      <c r="AA135" s="26">
        <v>4.6100000000000003</v>
      </c>
      <c r="AB135" s="26">
        <v>3.67</v>
      </c>
      <c r="AC135" s="26">
        <v>9.41</v>
      </c>
      <c r="AD135" s="26">
        <v>9.6999999999999993</v>
      </c>
      <c r="AF135" s="37">
        <v>131</v>
      </c>
      <c r="AG135"/>
      <c r="AH135"/>
      <c r="AI135"/>
      <c r="AJ135"/>
      <c r="AK135"/>
      <c r="AL135"/>
      <c r="AM135"/>
      <c r="AN135"/>
      <c r="AO135"/>
      <c r="AP135" s="24">
        <v>2019.02</v>
      </c>
      <c r="AQ135">
        <v>301021</v>
      </c>
      <c r="AR135">
        <v>2</v>
      </c>
      <c r="AS135">
        <v>119</v>
      </c>
      <c r="AT135">
        <v>45.6</v>
      </c>
      <c r="AU135">
        <v>4.22</v>
      </c>
      <c r="AV135">
        <v>3.58</v>
      </c>
      <c r="AW135">
        <v>9.0399999999999991</v>
      </c>
      <c r="AX135">
        <v>10</v>
      </c>
    </row>
    <row r="136" spans="12:50" x14ac:dyDescent="0.15">
      <c r="L136" s="37">
        <v>132</v>
      </c>
      <c r="M136">
        <v>2015.11</v>
      </c>
      <c r="N136" s="26">
        <v>270729</v>
      </c>
      <c r="O136" s="26">
        <v>1</v>
      </c>
      <c r="P136" s="26">
        <v>114</v>
      </c>
      <c r="Q136" s="26">
        <v>34.6</v>
      </c>
      <c r="R136" s="26">
        <v>4.2699999999999996</v>
      </c>
      <c r="S136" s="26">
        <v>3.12</v>
      </c>
      <c r="T136" s="26">
        <v>8.8000000000000007</v>
      </c>
      <c r="U136" s="33">
        <v>8.6</v>
      </c>
      <c r="V136" s="26">
        <v>2019.02</v>
      </c>
      <c r="W136" s="26">
        <v>300612</v>
      </c>
      <c r="X136" s="26">
        <v>1</v>
      </c>
      <c r="Y136" s="26">
        <v>250</v>
      </c>
      <c r="Z136" s="26">
        <v>28.1</v>
      </c>
      <c r="AA136" s="26">
        <v>3.52</v>
      </c>
      <c r="AB136" s="26">
        <v>3.28</v>
      </c>
      <c r="AC136" s="26">
        <v>8.64</v>
      </c>
      <c r="AD136" s="26">
        <v>6.8</v>
      </c>
      <c r="AF136" s="37">
        <v>132</v>
      </c>
      <c r="AG136"/>
      <c r="AH136"/>
      <c r="AI136"/>
      <c r="AJ136"/>
      <c r="AK136"/>
      <c r="AL136"/>
      <c r="AM136"/>
      <c r="AN136"/>
      <c r="AO136"/>
      <c r="AP136" s="24">
        <v>2019.02</v>
      </c>
      <c r="AQ136">
        <v>300926</v>
      </c>
      <c r="AR136">
        <v>2</v>
      </c>
      <c r="AS136">
        <v>144</v>
      </c>
      <c r="AT136">
        <v>41</v>
      </c>
      <c r="AU136">
        <v>3.84</v>
      </c>
      <c r="AV136">
        <v>2.93</v>
      </c>
      <c r="AW136">
        <v>8.42</v>
      </c>
      <c r="AX136">
        <v>8.8000000000000007</v>
      </c>
    </row>
    <row r="137" spans="12:50" x14ac:dyDescent="0.15">
      <c r="L137" s="37">
        <v>133</v>
      </c>
      <c r="M137">
        <v>2015.11</v>
      </c>
      <c r="N137" s="26">
        <v>270728</v>
      </c>
      <c r="O137" s="26">
        <v>1</v>
      </c>
      <c r="P137" s="26">
        <v>115</v>
      </c>
      <c r="Q137" s="26">
        <v>37.4</v>
      </c>
      <c r="R137" s="26">
        <v>3.45</v>
      </c>
      <c r="S137" s="26">
        <v>2.9</v>
      </c>
      <c r="T137" s="26">
        <v>8.39</v>
      </c>
      <c r="U137" s="33">
        <v>8.1999999999999993</v>
      </c>
      <c r="V137" s="26">
        <v>2019.02</v>
      </c>
      <c r="W137" s="26">
        <v>300604</v>
      </c>
      <c r="X137" s="26">
        <v>1</v>
      </c>
      <c r="Y137" s="26">
        <v>258</v>
      </c>
      <c r="Z137" s="26">
        <v>33.4</v>
      </c>
      <c r="AA137" s="26">
        <v>4.0599999999999996</v>
      </c>
      <c r="AB137" s="26">
        <v>3.53</v>
      </c>
      <c r="AC137" s="26">
        <v>8.94</v>
      </c>
      <c r="AD137" s="26">
        <v>9.1</v>
      </c>
      <c r="AF137" s="37">
        <v>133</v>
      </c>
      <c r="AG137"/>
      <c r="AH137"/>
      <c r="AI137"/>
      <c r="AJ137"/>
      <c r="AK137"/>
      <c r="AL137"/>
      <c r="AM137"/>
      <c r="AN137"/>
      <c r="AO137"/>
      <c r="AP137" s="24">
        <v>2019.02</v>
      </c>
      <c r="AQ137">
        <v>300919</v>
      </c>
      <c r="AR137">
        <v>2</v>
      </c>
      <c r="AS137">
        <v>151</v>
      </c>
      <c r="AT137">
        <v>16</v>
      </c>
      <c r="AU137">
        <v>3.57</v>
      </c>
      <c r="AV137">
        <v>3.02</v>
      </c>
      <c r="AW137">
        <v>8.27</v>
      </c>
      <c r="AX137">
        <v>9.1</v>
      </c>
    </row>
    <row r="138" spans="12:50" x14ac:dyDescent="0.15">
      <c r="L138" s="37">
        <v>134</v>
      </c>
      <c r="M138">
        <v>2015.11</v>
      </c>
      <c r="N138" s="26">
        <v>270728</v>
      </c>
      <c r="O138" s="26">
        <v>1</v>
      </c>
      <c r="P138" s="26">
        <v>115</v>
      </c>
      <c r="Q138" s="26">
        <v>29.5</v>
      </c>
      <c r="R138" s="26">
        <v>3.1</v>
      </c>
      <c r="S138" s="26">
        <v>2.74</v>
      </c>
      <c r="T138" s="26">
        <v>8.51</v>
      </c>
      <c r="U138" s="33">
        <v>11.4</v>
      </c>
      <c r="V138" s="26">
        <v>2019.02</v>
      </c>
      <c r="W138" s="26">
        <v>300601</v>
      </c>
      <c r="X138" s="26">
        <v>1</v>
      </c>
      <c r="Y138" s="26">
        <v>261</v>
      </c>
      <c r="Z138" s="26">
        <v>28.4</v>
      </c>
      <c r="AA138" s="26">
        <v>3.75</v>
      </c>
      <c r="AB138" s="26">
        <v>3.52</v>
      </c>
      <c r="AC138" s="26">
        <v>9.1199999999999992</v>
      </c>
      <c r="AD138" s="26">
        <v>8.6999999999999993</v>
      </c>
      <c r="AF138" s="37">
        <v>134</v>
      </c>
      <c r="AG138"/>
      <c r="AH138"/>
      <c r="AI138"/>
      <c r="AJ138"/>
      <c r="AK138"/>
      <c r="AL138"/>
      <c r="AM138"/>
      <c r="AN138"/>
      <c r="AO138"/>
      <c r="AP138" s="24">
        <v>2019.02</v>
      </c>
      <c r="AQ138">
        <v>300915</v>
      </c>
      <c r="AR138">
        <v>2</v>
      </c>
      <c r="AS138">
        <v>155</v>
      </c>
      <c r="AT138">
        <v>35.799999999999997</v>
      </c>
      <c r="AU138">
        <v>3.93</v>
      </c>
      <c r="AV138">
        <v>2.9</v>
      </c>
      <c r="AW138">
        <v>8.2899999999999991</v>
      </c>
      <c r="AX138">
        <v>9.1999999999999993</v>
      </c>
    </row>
    <row r="139" spans="12:50" x14ac:dyDescent="0.15">
      <c r="L139" s="37">
        <v>135</v>
      </c>
      <c r="M139">
        <v>2015.11</v>
      </c>
      <c r="N139" s="26">
        <v>270721</v>
      </c>
      <c r="O139" s="26">
        <v>1</v>
      </c>
      <c r="P139" s="26">
        <v>122</v>
      </c>
      <c r="Q139" s="26">
        <v>41</v>
      </c>
      <c r="R139" s="26">
        <v>4.1399999999999997</v>
      </c>
      <c r="S139" s="26">
        <v>2.98</v>
      </c>
      <c r="T139" s="26">
        <v>8.4700000000000006</v>
      </c>
      <c r="U139" s="33">
        <v>8.9</v>
      </c>
      <c r="V139" s="26">
        <v>2019.02</v>
      </c>
      <c r="W139" s="26">
        <v>300524</v>
      </c>
      <c r="X139" s="26">
        <v>1</v>
      </c>
      <c r="Y139" s="26">
        <v>269</v>
      </c>
      <c r="Z139" s="26">
        <v>28.8</v>
      </c>
      <c r="AA139" s="26">
        <v>3.7</v>
      </c>
      <c r="AB139" s="26">
        <v>3.26</v>
      </c>
      <c r="AC139" s="26">
        <v>8.4700000000000006</v>
      </c>
      <c r="AD139" s="26">
        <v>4.7</v>
      </c>
      <c r="AF139" s="37">
        <v>135</v>
      </c>
      <c r="AG139"/>
      <c r="AH139"/>
      <c r="AI139"/>
      <c r="AJ139"/>
      <c r="AK139"/>
      <c r="AL139"/>
      <c r="AM139"/>
      <c r="AN139"/>
      <c r="AO139" s="17"/>
      <c r="AP139" s="24">
        <v>2019.02</v>
      </c>
      <c r="AQ139">
        <v>300903</v>
      </c>
      <c r="AR139">
        <v>2</v>
      </c>
      <c r="AS139">
        <v>167</v>
      </c>
      <c r="AT139">
        <v>39.6</v>
      </c>
      <c r="AU139">
        <v>4.05</v>
      </c>
      <c r="AV139">
        <v>3.28</v>
      </c>
      <c r="AW139">
        <v>8.73</v>
      </c>
      <c r="AX139">
        <v>9.4</v>
      </c>
    </row>
    <row r="140" spans="12:50" x14ac:dyDescent="0.15">
      <c r="L140" s="37">
        <v>136</v>
      </c>
      <c r="M140">
        <v>2015.11</v>
      </c>
      <c r="N140" s="26">
        <v>270717</v>
      </c>
      <c r="O140" s="26">
        <v>1</v>
      </c>
      <c r="P140" s="26">
        <v>126</v>
      </c>
      <c r="Q140" s="26">
        <v>17.399999999999999</v>
      </c>
      <c r="R140" s="26">
        <v>3.45</v>
      </c>
      <c r="S140" s="26">
        <v>3.08</v>
      </c>
      <c r="T140" s="26">
        <v>8.6999999999999993</v>
      </c>
      <c r="U140" s="33">
        <v>7.7</v>
      </c>
      <c r="V140" s="26">
        <v>2019.02</v>
      </c>
      <c r="W140" s="26">
        <v>300519</v>
      </c>
      <c r="X140" s="26">
        <v>1</v>
      </c>
      <c r="Y140" s="26">
        <v>274</v>
      </c>
      <c r="Z140" s="26">
        <v>35</v>
      </c>
      <c r="AA140" s="26">
        <v>4.53</v>
      </c>
      <c r="AB140" s="26">
        <v>3.09</v>
      </c>
      <c r="AC140" s="26">
        <v>8.43</v>
      </c>
      <c r="AD140" s="26">
        <v>7.5</v>
      </c>
      <c r="AF140" s="37">
        <v>136</v>
      </c>
      <c r="AG140"/>
      <c r="AH140"/>
      <c r="AI140"/>
      <c r="AJ140"/>
      <c r="AK140"/>
      <c r="AL140"/>
      <c r="AM140"/>
      <c r="AN140"/>
      <c r="AO140"/>
      <c r="AP140" s="24">
        <v>2019.02</v>
      </c>
      <c r="AQ140">
        <v>300829</v>
      </c>
      <c r="AR140">
        <v>2</v>
      </c>
      <c r="AS140">
        <v>172</v>
      </c>
      <c r="AT140">
        <v>25.4</v>
      </c>
      <c r="AU140">
        <v>5.22</v>
      </c>
      <c r="AV140">
        <v>3.53</v>
      </c>
      <c r="AW140">
        <v>8.8699999999999992</v>
      </c>
      <c r="AX140">
        <v>8.4</v>
      </c>
    </row>
    <row r="141" spans="12:50" x14ac:dyDescent="0.15">
      <c r="L141" s="37">
        <v>137</v>
      </c>
      <c r="M141">
        <v>2015.11</v>
      </c>
      <c r="N141" s="26">
        <v>270717</v>
      </c>
      <c r="O141" s="26">
        <v>1</v>
      </c>
      <c r="P141" s="26">
        <v>126</v>
      </c>
      <c r="Q141" s="26">
        <v>40.4</v>
      </c>
      <c r="R141" s="26">
        <v>2.88</v>
      </c>
      <c r="S141" s="26">
        <v>2.85</v>
      </c>
      <c r="T141" s="26">
        <v>8.4</v>
      </c>
      <c r="U141" s="33">
        <v>11</v>
      </c>
      <c r="V141" s="26">
        <v>2019.02</v>
      </c>
      <c r="W141" s="26">
        <v>300516</v>
      </c>
      <c r="X141" s="26">
        <v>1</v>
      </c>
      <c r="Y141" s="26">
        <v>277</v>
      </c>
      <c r="Z141" s="26">
        <v>38.299999999999997</v>
      </c>
      <c r="AA141" s="26">
        <v>3.38</v>
      </c>
      <c r="AB141" s="26">
        <v>3.19</v>
      </c>
      <c r="AC141" s="26">
        <v>8.7799999999999994</v>
      </c>
      <c r="AD141" s="26">
        <v>8.6999999999999993</v>
      </c>
      <c r="AF141" s="37">
        <v>137</v>
      </c>
      <c r="AG141"/>
      <c r="AH141"/>
      <c r="AI141"/>
      <c r="AJ141"/>
      <c r="AK141"/>
      <c r="AL141"/>
      <c r="AM141"/>
      <c r="AN141"/>
      <c r="AO141"/>
      <c r="AP141" s="24">
        <v>2019.02</v>
      </c>
      <c r="AQ141">
        <v>300829</v>
      </c>
      <c r="AR141">
        <v>2</v>
      </c>
      <c r="AS141">
        <v>172</v>
      </c>
      <c r="AT141">
        <v>24.5</v>
      </c>
      <c r="AU141">
        <v>5.13</v>
      </c>
      <c r="AV141">
        <v>3.72</v>
      </c>
      <c r="AW141">
        <v>9.36</v>
      </c>
      <c r="AX141">
        <v>12.2</v>
      </c>
    </row>
    <row r="142" spans="12:50" x14ac:dyDescent="0.15">
      <c r="L142" s="37">
        <v>138</v>
      </c>
      <c r="M142">
        <v>2015.11</v>
      </c>
      <c r="N142" s="26">
        <v>270715</v>
      </c>
      <c r="O142" s="26">
        <v>1</v>
      </c>
      <c r="P142" s="26">
        <v>128</v>
      </c>
      <c r="Q142" s="26">
        <v>29</v>
      </c>
      <c r="R142" s="26">
        <v>3.55</v>
      </c>
      <c r="S142" s="26">
        <v>3.28</v>
      </c>
      <c r="T142" s="26">
        <v>8.86</v>
      </c>
      <c r="U142" s="33">
        <v>10.1</v>
      </c>
      <c r="V142" s="26">
        <v>2019.03</v>
      </c>
      <c r="W142" s="26">
        <v>301207</v>
      </c>
      <c r="X142" s="26">
        <v>1</v>
      </c>
      <c r="Y142" s="26">
        <v>100</v>
      </c>
      <c r="Z142" s="26">
        <v>32.700000000000003</v>
      </c>
      <c r="AA142" s="26">
        <v>3.47</v>
      </c>
      <c r="AB142" s="26">
        <v>3.22</v>
      </c>
      <c r="AC142" s="26">
        <v>8.91</v>
      </c>
      <c r="AD142" s="26">
        <v>11.7</v>
      </c>
      <c r="AF142" s="37">
        <v>138</v>
      </c>
      <c r="AG142"/>
      <c r="AH142"/>
      <c r="AI142"/>
      <c r="AJ142"/>
      <c r="AK142"/>
      <c r="AL142"/>
      <c r="AM142"/>
      <c r="AN142"/>
      <c r="AO142"/>
      <c r="AP142" s="24">
        <v>2019.02</v>
      </c>
      <c r="AQ142">
        <v>300822</v>
      </c>
      <c r="AR142">
        <v>2</v>
      </c>
      <c r="AS142">
        <v>179</v>
      </c>
      <c r="AT142">
        <v>35.799999999999997</v>
      </c>
      <c r="AU142">
        <v>3.97</v>
      </c>
      <c r="AV142">
        <v>3.2</v>
      </c>
      <c r="AW142">
        <v>8.39</v>
      </c>
      <c r="AX142">
        <v>7.4</v>
      </c>
    </row>
    <row r="143" spans="12:50" x14ac:dyDescent="0.15">
      <c r="L143" s="37">
        <v>139</v>
      </c>
      <c r="M143">
        <v>2015.11</v>
      </c>
      <c r="N143" s="26">
        <v>270713</v>
      </c>
      <c r="O143" s="26">
        <v>1</v>
      </c>
      <c r="P143" s="26">
        <v>130</v>
      </c>
      <c r="Q143" s="26">
        <v>28.9</v>
      </c>
      <c r="R143" s="26">
        <v>4.32</v>
      </c>
      <c r="S143" s="26">
        <v>3.45</v>
      </c>
      <c r="T143" s="26">
        <v>9.19</v>
      </c>
      <c r="U143" s="33">
        <v>11.8</v>
      </c>
      <c r="V143" s="26">
        <v>2019.03</v>
      </c>
      <c r="W143" s="26">
        <v>301207</v>
      </c>
      <c r="X143" s="26">
        <v>1</v>
      </c>
      <c r="Y143" s="26">
        <v>100</v>
      </c>
      <c r="Z143" s="26">
        <v>32.799999999999997</v>
      </c>
      <c r="AA143" s="26">
        <v>4.71</v>
      </c>
      <c r="AB143" s="26">
        <v>3.03</v>
      </c>
      <c r="AC143" s="26">
        <v>8.73</v>
      </c>
      <c r="AD143" s="26">
        <v>10.3</v>
      </c>
      <c r="AF143" s="37">
        <v>139</v>
      </c>
      <c r="AG143"/>
      <c r="AH143"/>
      <c r="AI143"/>
      <c r="AJ143"/>
      <c r="AK143"/>
      <c r="AL143"/>
      <c r="AM143"/>
      <c r="AN143"/>
      <c r="AO143"/>
      <c r="AP143" s="24">
        <v>2019.02</v>
      </c>
      <c r="AQ143">
        <v>300803</v>
      </c>
      <c r="AR143">
        <v>2</v>
      </c>
      <c r="AS143">
        <v>198</v>
      </c>
      <c r="AT143">
        <v>44.6</v>
      </c>
      <c r="AU143">
        <v>4.12</v>
      </c>
      <c r="AV143">
        <v>3.43</v>
      </c>
      <c r="AW143">
        <v>8.27</v>
      </c>
      <c r="AX143">
        <v>10</v>
      </c>
    </row>
    <row r="144" spans="12:50" x14ac:dyDescent="0.15">
      <c r="L144" s="37">
        <v>140</v>
      </c>
      <c r="M144">
        <v>2015.11</v>
      </c>
      <c r="N144" s="26">
        <v>270712</v>
      </c>
      <c r="O144" s="26">
        <v>1</v>
      </c>
      <c r="P144" s="26">
        <v>131</v>
      </c>
      <c r="Q144" s="26">
        <v>32</v>
      </c>
      <c r="R144" s="26">
        <v>3.14</v>
      </c>
      <c r="S144" s="26">
        <v>3.46</v>
      </c>
      <c r="T144" s="26">
        <v>8.7799999999999994</v>
      </c>
      <c r="U144" s="33">
        <v>6.5</v>
      </c>
      <c r="V144" s="26">
        <v>2019.03</v>
      </c>
      <c r="W144" s="26">
        <v>301119</v>
      </c>
      <c r="X144" s="26">
        <v>1</v>
      </c>
      <c r="Y144" s="26">
        <v>118</v>
      </c>
      <c r="Z144" s="26">
        <v>36.200000000000003</v>
      </c>
      <c r="AA144" s="26">
        <v>3.4</v>
      </c>
      <c r="AB144" s="26">
        <v>3.05</v>
      </c>
      <c r="AC144" s="26">
        <v>8.42</v>
      </c>
      <c r="AD144" s="26">
        <v>7.1</v>
      </c>
      <c r="AF144" s="37">
        <v>140</v>
      </c>
      <c r="AG144"/>
      <c r="AH144" s="29"/>
      <c r="AI144" s="29"/>
      <c r="AJ144" s="29"/>
      <c r="AK144" s="29"/>
      <c r="AL144" s="29"/>
      <c r="AM144" s="29"/>
      <c r="AN144" s="29"/>
      <c r="AO144" s="30"/>
      <c r="AP144" s="24">
        <v>2019.02</v>
      </c>
      <c r="AQ144">
        <v>300727</v>
      </c>
      <c r="AR144">
        <v>2</v>
      </c>
      <c r="AS144">
        <v>205</v>
      </c>
      <c r="AT144">
        <v>36.200000000000003</v>
      </c>
      <c r="AU144">
        <v>3.94</v>
      </c>
      <c r="AV144">
        <v>3.09</v>
      </c>
      <c r="AW144">
        <v>8.33</v>
      </c>
      <c r="AX144">
        <v>7</v>
      </c>
    </row>
    <row r="145" spans="12:50" x14ac:dyDescent="0.15">
      <c r="L145" s="37">
        <v>141</v>
      </c>
      <c r="M145">
        <v>2015.11</v>
      </c>
      <c r="N145" s="26">
        <v>270707</v>
      </c>
      <c r="O145" s="26">
        <v>1</v>
      </c>
      <c r="P145" s="26">
        <v>136</v>
      </c>
      <c r="Q145" s="26">
        <v>30.7</v>
      </c>
      <c r="R145" s="26">
        <v>4.75</v>
      </c>
      <c r="S145" s="26">
        <v>4.0599999999999996</v>
      </c>
      <c r="T145" s="26">
        <v>9.8800000000000008</v>
      </c>
      <c r="U145" s="33">
        <v>9.1</v>
      </c>
      <c r="V145" s="26">
        <v>2019.03</v>
      </c>
      <c r="W145" s="26">
        <v>301117</v>
      </c>
      <c r="X145" s="26">
        <v>1</v>
      </c>
      <c r="Y145" s="26">
        <v>120</v>
      </c>
      <c r="Z145" s="26">
        <v>22.8</v>
      </c>
      <c r="AA145" s="26">
        <v>4.8</v>
      </c>
      <c r="AB145" s="26">
        <v>3.58</v>
      </c>
      <c r="AC145" s="26">
        <v>9.23</v>
      </c>
      <c r="AD145" s="26">
        <v>9.5</v>
      </c>
      <c r="AF145" s="37">
        <v>141</v>
      </c>
      <c r="AG145"/>
      <c r="AH145" s="29"/>
      <c r="AI145" s="29"/>
      <c r="AJ145" s="29"/>
      <c r="AK145" s="29"/>
      <c r="AL145" s="29"/>
      <c r="AM145" s="29"/>
      <c r="AN145" s="29"/>
      <c r="AO145" s="31"/>
      <c r="AP145" s="24">
        <v>2019.02</v>
      </c>
      <c r="AQ145">
        <v>300723</v>
      </c>
      <c r="AR145">
        <v>2</v>
      </c>
      <c r="AS145">
        <v>209</v>
      </c>
      <c r="AT145">
        <v>29.3</v>
      </c>
      <c r="AU145">
        <v>3.91</v>
      </c>
      <c r="AV145">
        <v>3.64</v>
      </c>
      <c r="AW145">
        <v>8.98</v>
      </c>
      <c r="AX145">
        <v>7.2</v>
      </c>
    </row>
    <row r="146" spans="12:50" x14ac:dyDescent="0.15">
      <c r="L146" s="37">
        <v>142</v>
      </c>
      <c r="M146">
        <v>2015.11</v>
      </c>
      <c r="N146" s="26">
        <v>270705</v>
      </c>
      <c r="O146" s="26">
        <v>1</v>
      </c>
      <c r="P146" s="26">
        <v>138</v>
      </c>
      <c r="Q146" s="26">
        <v>45.5</v>
      </c>
      <c r="R146" s="26">
        <v>2.98</v>
      </c>
      <c r="S146" s="26">
        <v>2.91</v>
      </c>
      <c r="T146" s="26">
        <v>8.06</v>
      </c>
      <c r="U146" s="33">
        <v>8.6</v>
      </c>
      <c r="V146" s="26">
        <v>2019.03</v>
      </c>
      <c r="W146" s="26">
        <v>301011</v>
      </c>
      <c r="X146" s="26">
        <v>1</v>
      </c>
      <c r="Y146" s="26">
        <v>157</v>
      </c>
      <c r="Z146" s="26">
        <v>24.7</v>
      </c>
      <c r="AA146" s="26">
        <v>3.36</v>
      </c>
      <c r="AB146" s="26">
        <v>3.49</v>
      </c>
      <c r="AC146" s="26">
        <v>9.1300000000000008</v>
      </c>
      <c r="AD146" s="26">
        <v>10.199999999999999</v>
      </c>
      <c r="AF146" s="37">
        <v>142</v>
      </c>
      <c r="AG146"/>
      <c r="AH146" s="29"/>
      <c r="AI146" s="29"/>
      <c r="AJ146" s="29"/>
      <c r="AK146" s="29"/>
      <c r="AL146" s="29"/>
      <c r="AM146" s="29"/>
      <c r="AN146" s="29"/>
      <c r="AO146" s="16"/>
      <c r="AP146" s="24">
        <v>2019.02</v>
      </c>
      <c r="AQ146">
        <v>300709</v>
      </c>
      <c r="AR146">
        <v>2</v>
      </c>
      <c r="AS146">
        <v>223</v>
      </c>
      <c r="AT146">
        <v>29.2</v>
      </c>
      <c r="AU146">
        <v>4.51</v>
      </c>
      <c r="AV146">
        <v>3.26</v>
      </c>
      <c r="AW146">
        <v>8.6999999999999993</v>
      </c>
      <c r="AX146">
        <v>11.1</v>
      </c>
    </row>
    <row r="147" spans="12:50" x14ac:dyDescent="0.15">
      <c r="L147" s="37">
        <v>143</v>
      </c>
      <c r="M147">
        <v>2015.11</v>
      </c>
      <c r="N147" s="26">
        <v>270703</v>
      </c>
      <c r="O147" s="26">
        <v>1</v>
      </c>
      <c r="P147" s="26">
        <v>140</v>
      </c>
      <c r="Q147" s="26">
        <v>41.6</v>
      </c>
      <c r="R147" s="26">
        <v>3.74</v>
      </c>
      <c r="S147" s="26">
        <v>3.16</v>
      </c>
      <c r="T147" s="26">
        <v>8.68</v>
      </c>
      <c r="U147" s="33">
        <v>11.7</v>
      </c>
      <c r="V147" s="26">
        <v>2019.03</v>
      </c>
      <c r="W147" s="26">
        <v>300924</v>
      </c>
      <c r="X147" s="26">
        <v>1</v>
      </c>
      <c r="Y147" s="26">
        <v>174</v>
      </c>
      <c r="Z147" s="26">
        <v>38</v>
      </c>
      <c r="AA147" s="26">
        <v>4.0999999999999996</v>
      </c>
      <c r="AB147" s="26">
        <v>2.93</v>
      </c>
      <c r="AC147" s="26">
        <v>8.51</v>
      </c>
      <c r="AD147" s="26">
        <v>11.6</v>
      </c>
      <c r="AF147" s="37">
        <v>143</v>
      </c>
      <c r="AG147"/>
      <c r="AH147"/>
      <c r="AI147"/>
      <c r="AJ147"/>
      <c r="AK147"/>
      <c r="AL147"/>
      <c r="AM147"/>
      <c r="AN147"/>
      <c r="AO147"/>
      <c r="AP147" s="24">
        <v>2019.02</v>
      </c>
      <c r="AQ147">
        <v>300701</v>
      </c>
      <c r="AR147">
        <v>2</v>
      </c>
      <c r="AS147">
        <v>231</v>
      </c>
      <c r="AT147">
        <v>34.700000000000003</v>
      </c>
      <c r="AU147">
        <v>4</v>
      </c>
      <c r="AV147">
        <v>3.31</v>
      </c>
      <c r="AW147">
        <v>8.74</v>
      </c>
      <c r="AX147">
        <v>10.4</v>
      </c>
    </row>
    <row r="148" spans="12:50" x14ac:dyDescent="0.15">
      <c r="L148" s="37">
        <v>144</v>
      </c>
      <c r="M148">
        <v>2015.11</v>
      </c>
      <c r="N148" s="26">
        <v>270702</v>
      </c>
      <c r="O148" s="26">
        <v>1</v>
      </c>
      <c r="P148" s="26">
        <v>141</v>
      </c>
      <c r="Q148" s="26">
        <v>36.200000000000003</v>
      </c>
      <c r="R148" s="26">
        <v>4.03</v>
      </c>
      <c r="S148" s="26">
        <v>3.35</v>
      </c>
      <c r="T148" s="26">
        <v>9.19</v>
      </c>
      <c r="U148" s="33">
        <v>9.6999999999999993</v>
      </c>
      <c r="V148" s="26">
        <v>2019.03</v>
      </c>
      <c r="W148" s="26">
        <v>300910</v>
      </c>
      <c r="X148" s="26">
        <v>1</v>
      </c>
      <c r="Y148" s="26">
        <v>188</v>
      </c>
      <c r="Z148" s="26">
        <v>28.9</v>
      </c>
      <c r="AA148" s="26">
        <v>5.1100000000000003</v>
      </c>
      <c r="AB148" s="26">
        <v>3.48</v>
      </c>
      <c r="AC148" s="26">
        <v>9.16</v>
      </c>
      <c r="AD148" s="26">
        <v>7.5</v>
      </c>
      <c r="AF148" s="37">
        <v>144</v>
      </c>
      <c r="AG148"/>
      <c r="AH148"/>
      <c r="AI148"/>
      <c r="AJ148"/>
      <c r="AK148"/>
      <c r="AL148"/>
      <c r="AM148"/>
      <c r="AN148"/>
      <c r="AO148"/>
      <c r="AP148" s="24">
        <v>2019.03</v>
      </c>
      <c r="AQ148">
        <v>301120</v>
      </c>
      <c r="AR148">
        <v>2</v>
      </c>
      <c r="AS148">
        <v>117</v>
      </c>
      <c r="AT148">
        <v>35.6</v>
      </c>
      <c r="AU148">
        <v>3.61</v>
      </c>
      <c r="AV148">
        <v>2.95</v>
      </c>
      <c r="AW148">
        <v>8.3000000000000007</v>
      </c>
      <c r="AX148">
        <v>9.1</v>
      </c>
    </row>
    <row r="149" spans="12:50" x14ac:dyDescent="0.15">
      <c r="L149" s="37">
        <v>145</v>
      </c>
      <c r="M149">
        <v>2015.11</v>
      </c>
      <c r="N149" s="26">
        <v>270628</v>
      </c>
      <c r="O149" s="26">
        <v>1</v>
      </c>
      <c r="P149" s="26">
        <v>145</v>
      </c>
      <c r="Q149" s="26">
        <v>20.100000000000001</v>
      </c>
      <c r="R149" s="26">
        <v>3.33</v>
      </c>
      <c r="S149" s="26">
        <v>3.49</v>
      </c>
      <c r="T149" s="26">
        <v>9.02</v>
      </c>
      <c r="U149" s="33">
        <v>8.9</v>
      </c>
      <c r="V149" s="26">
        <v>2019.03</v>
      </c>
      <c r="W149" s="26">
        <v>300906</v>
      </c>
      <c r="X149" s="26">
        <v>1</v>
      </c>
      <c r="Y149" s="26">
        <v>192</v>
      </c>
      <c r="Z149" s="26">
        <v>31.1</v>
      </c>
      <c r="AA149" s="26">
        <v>3.73</v>
      </c>
      <c r="AB149" s="26">
        <v>3.24</v>
      </c>
      <c r="AC149" s="26">
        <v>9.01</v>
      </c>
      <c r="AD149" s="26">
        <v>9.1</v>
      </c>
      <c r="AF149" s="37">
        <v>145</v>
      </c>
      <c r="AG149"/>
      <c r="AH149"/>
      <c r="AI149"/>
      <c r="AJ149"/>
      <c r="AK149"/>
      <c r="AL149"/>
      <c r="AM149"/>
      <c r="AN149"/>
      <c r="AO149"/>
      <c r="AP149" s="24">
        <v>2019.03</v>
      </c>
      <c r="AQ149">
        <v>301115</v>
      </c>
      <c r="AR149">
        <v>2</v>
      </c>
      <c r="AS149">
        <v>122</v>
      </c>
      <c r="AT149">
        <v>47.3</v>
      </c>
      <c r="AU149">
        <v>4.32</v>
      </c>
      <c r="AV149">
        <v>2.87</v>
      </c>
      <c r="AW149">
        <v>8.48</v>
      </c>
      <c r="AX149">
        <v>8.9</v>
      </c>
    </row>
    <row r="150" spans="12:50" x14ac:dyDescent="0.15">
      <c r="L150" s="37">
        <v>146</v>
      </c>
      <c r="M150">
        <v>2015.11</v>
      </c>
      <c r="N150" s="26">
        <v>270624</v>
      </c>
      <c r="O150" s="26">
        <v>1</v>
      </c>
      <c r="P150" s="26">
        <v>149</v>
      </c>
      <c r="Q150" s="26">
        <v>28.2</v>
      </c>
      <c r="R150" s="26">
        <v>3.35</v>
      </c>
      <c r="S150" s="26">
        <v>3.19</v>
      </c>
      <c r="T150" s="26">
        <v>8.83</v>
      </c>
      <c r="U150" s="33">
        <v>7.3</v>
      </c>
      <c r="V150" s="26">
        <v>2019.03</v>
      </c>
      <c r="W150" s="26">
        <v>300804</v>
      </c>
      <c r="X150" s="26">
        <v>1</v>
      </c>
      <c r="Y150" s="26">
        <v>225</v>
      </c>
      <c r="Z150" s="26">
        <v>33.5</v>
      </c>
      <c r="AA150" s="26">
        <v>4.24</v>
      </c>
      <c r="AB150" s="26">
        <v>3.33</v>
      </c>
      <c r="AC150" s="26">
        <v>8.7799999999999994</v>
      </c>
      <c r="AD150" s="26">
        <v>8.8000000000000007</v>
      </c>
      <c r="AF150" s="37">
        <v>146</v>
      </c>
      <c r="AG150"/>
      <c r="AH150"/>
      <c r="AI150"/>
      <c r="AJ150"/>
      <c r="AK150"/>
      <c r="AL150"/>
      <c r="AM150"/>
      <c r="AN150"/>
      <c r="AO150"/>
      <c r="AP150" s="24">
        <v>2019.03</v>
      </c>
      <c r="AQ150">
        <v>301021</v>
      </c>
      <c r="AR150">
        <v>2</v>
      </c>
      <c r="AS150">
        <v>147</v>
      </c>
      <c r="AT150">
        <v>44.4</v>
      </c>
      <c r="AU150">
        <v>4.66</v>
      </c>
      <c r="AV150">
        <v>3.53</v>
      </c>
      <c r="AW150">
        <v>9.02</v>
      </c>
      <c r="AX150">
        <v>8.9</v>
      </c>
    </row>
    <row r="151" spans="12:50" x14ac:dyDescent="0.15">
      <c r="L151" s="37">
        <v>147</v>
      </c>
      <c r="M151">
        <v>2015.11</v>
      </c>
      <c r="N151" s="26">
        <v>270624</v>
      </c>
      <c r="O151" s="26">
        <v>1</v>
      </c>
      <c r="P151" s="26">
        <v>149</v>
      </c>
      <c r="Q151" s="26">
        <v>30.5</v>
      </c>
      <c r="R151" s="26">
        <v>3.28</v>
      </c>
      <c r="S151" s="26">
        <v>3.18</v>
      </c>
      <c r="T151" s="26">
        <v>8.83</v>
      </c>
      <c r="U151" s="33">
        <v>11.5</v>
      </c>
      <c r="V151" s="26">
        <v>2019.03</v>
      </c>
      <c r="W151" s="26">
        <v>300731</v>
      </c>
      <c r="X151" s="26">
        <v>1</v>
      </c>
      <c r="Y151" s="26">
        <v>229</v>
      </c>
      <c r="Z151" s="26">
        <v>25.2</v>
      </c>
      <c r="AA151" s="26">
        <v>4.79</v>
      </c>
      <c r="AB151" s="26">
        <v>3.11</v>
      </c>
      <c r="AC151" s="26">
        <v>8.5</v>
      </c>
      <c r="AD151" s="26">
        <v>9.6999999999999993</v>
      </c>
      <c r="AF151" s="37">
        <v>147</v>
      </c>
      <c r="AG151"/>
      <c r="AH151"/>
      <c r="AI151"/>
      <c r="AJ151"/>
      <c r="AK151"/>
      <c r="AL151"/>
      <c r="AM151"/>
      <c r="AN151"/>
      <c r="AO151"/>
      <c r="AP151" s="24">
        <v>2019.03</v>
      </c>
      <c r="AQ151">
        <v>300926</v>
      </c>
      <c r="AR151">
        <v>2</v>
      </c>
      <c r="AS151">
        <v>172</v>
      </c>
      <c r="AT151">
        <v>28.9</v>
      </c>
      <c r="AU151">
        <v>4.08</v>
      </c>
      <c r="AV151">
        <v>2.64</v>
      </c>
      <c r="AW151">
        <v>8.0500000000000007</v>
      </c>
      <c r="AX151">
        <v>6.5</v>
      </c>
    </row>
    <row r="152" spans="12:50" x14ac:dyDescent="0.15">
      <c r="L152" s="37">
        <v>148</v>
      </c>
      <c r="M152">
        <v>2015.11</v>
      </c>
      <c r="N152" s="26">
        <v>270624</v>
      </c>
      <c r="O152" s="26">
        <v>1</v>
      </c>
      <c r="P152" s="26">
        <v>149</v>
      </c>
      <c r="Q152" s="26">
        <v>12.2</v>
      </c>
      <c r="R152" s="26">
        <v>6.08</v>
      </c>
      <c r="S152" s="26">
        <v>3.39</v>
      </c>
      <c r="T152" s="26">
        <v>8.77</v>
      </c>
      <c r="U152" s="33">
        <v>13.2</v>
      </c>
      <c r="V152" s="26">
        <v>2019.03</v>
      </c>
      <c r="W152" s="26">
        <v>300630</v>
      </c>
      <c r="X152" s="26">
        <v>1</v>
      </c>
      <c r="Y152" s="26">
        <v>260</v>
      </c>
      <c r="Z152" s="26">
        <v>29.9</v>
      </c>
      <c r="AA152" s="26">
        <v>4.42</v>
      </c>
      <c r="AB152" s="26">
        <v>3.59</v>
      </c>
      <c r="AC152" s="26">
        <v>9.23</v>
      </c>
      <c r="AD152" s="26">
        <v>10.4</v>
      </c>
      <c r="AF152" s="37">
        <v>148</v>
      </c>
      <c r="AG152"/>
      <c r="AH152"/>
      <c r="AI152"/>
      <c r="AJ152"/>
      <c r="AK152"/>
      <c r="AL152"/>
      <c r="AM152"/>
      <c r="AN152"/>
      <c r="AO152"/>
      <c r="AP152" s="24">
        <v>2019.03</v>
      </c>
      <c r="AQ152">
        <v>300919</v>
      </c>
      <c r="AR152">
        <v>2</v>
      </c>
      <c r="AS152">
        <v>179</v>
      </c>
      <c r="AT152">
        <v>18.5</v>
      </c>
      <c r="AU152">
        <v>3.68</v>
      </c>
      <c r="AV152">
        <v>2.94</v>
      </c>
      <c r="AW152">
        <v>8.06</v>
      </c>
      <c r="AX152">
        <v>11.1</v>
      </c>
    </row>
    <row r="153" spans="12:50" x14ac:dyDescent="0.15">
      <c r="L153" s="37">
        <v>149</v>
      </c>
      <c r="M153">
        <v>2015.11</v>
      </c>
      <c r="N153" s="26">
        <v>270622</v>
      </c>
      <c r="O153" s="26">
        <v>1</v>
      </c>
      <c r="P153" s="26">
        <v>151</v>
      </c>
      <c r="Q153" s="26">
        <v>30.4</v>
      </c>
      <c r="R153" s="26">
        <v>4.3499999999999996</v>
      </c>
      <c r="S153" s="26">
        <v>3.43</v>
      </c>
      <c r="T153" s="26">
        <v>9.0500000000000007</v>
      </c>
      <c r="U153" s="33">
        <v>10.6</v>
      </c>
      <c r="V153" s="26">
        <v>2019.03</v>
      </c>
      <c r="W153" s="26">
        <v>300623</v>
      </c>
      <c r="X153" s="26">
        <v>1</v>
      </c>
      <c r="Y153" s="26">
        <v>267</v>
      </c>
      <c r="Z153" s="26">
        <v>24</v>
      </c>
      <c r="AA153" s="26">
        <v>3.6</v>
      </c>
      <c r="AB153" s="26">
        <v>3.36</v>
      </c>
      <c r="AC153" s="26">
        <v>9.08</v>
      </c>
      <c r="AD153" s="26">
        <v>10.199999999999999</v>
      </c>
      <c r="AF153" s="37">
        <v>149</v>
      </c>
      <c r="AG153"/>
      <c r="AH153"/>
      <c r="AI153"/>
      <c r="AJ153"/>
      <c r="AK153"/>
      <c r="AL153"/>
      <c r="AM153"/>
      <c r="AN153"/>
      <c r="AO153"/>
      <c r="AP153" s="24">
        <v>2019.03</v>
      </c>
      <c r="AQ153">
        <v>300915</v>
      </c>
      <c r="AR153">
        <v>2</v>
      </c>
      <c r="AS153">
        <v>183</v>
      </c>
      <c r="AT153">
        <v>34.6</v>
      </c>
      <c r="AU153">
        <v>3.93</v>
      </c>
      <c r="AV153">
        <v>2.98</v>
      </c>
      <c r="AW153">
        <v>8.58</v>
      </c>
      <c r="AX153">
        <v>10.6</v>
      </c>
    </row>
    <row r="154" spans="12:50" x14ac:dyDescent="0.15">
      <c r="L154" s="37">
        <v>150</v>
      </c>
      <c r="M154">
        <v>2015.11</v>
      </c>
      <c r="N154" s="26">
        <v>270621</v>
      </c>
      <c r="O154" s="26">
        <v>1</v>
      </c>
      <c r="P154" s="26">
        <v>152</v>
      </c>
      <c r="Q154" s="26">
        <v>32.700000000000003</v>
      </c>
      <c r="R154" s="26">
        <v>4.1900000000000004</v>
      </c>
      <c r="S154" s="26">
        <v>3.07</v>
      </c>
      <c r="T154" s="26">
        <v>8.5</v>
      </c>
      <c r="U154" s="33">
        <v>9.6</v>
      </c>
      <c r="V154" s="26">
        <v>2019.03</v>
      </c>
      <c r="W154" s="26">
        <v>300619</v>
      </c>
      <c r="X154" s="26">
        <v>1</v>
      </c>
      <c r="Y154" s="26">
        <v>271</v>
      </c>
      <c r="Z154" s="26">
        <v>27.3</v>
      </c>
      <c r="AA154" s="26">
        <v>4.6500000000000004</v>
      </c>
      <c r="AB154" s="26">
        <v>3.7</v>
      </c>
      <c r="AC154" s="26">
        <v>9.15</v>
      </c>
      <c r="AD154" s="26">
        <v>11.8</v>
      </c>
      <c r="AF154" s="37">
        <v>150</v>
      </c>
      <c r="AG154"/>
      <c r="AH154"/>
      <c r="AI154"/>
      <c r="AJ154"/>
      <c r="AK154"/>
      <c r="AL154"/>
      <c r="AM154"/>
      <c r="AN154"/>
      <c r="AO154"/>
      <c r="AP154" s="24">
        <v>2019.03</v>
      </c>
      <c r="AQ154">
        <v>300903</v>
      </c>
      <c r="AR154">
        <v>2</v>
      </c>
      <c r="AS154">
        <v>195</v>
      </c>
      <c r="AT154">
        <v>36.5</v>
      </c>
      <c r="AU154">
        <v>3.95</v>
      </c>
      <c r="AV154">
        <v>3.1</v>
      </c>
      <c r="AW154">
        <v>8.31</v>
      </c>
      <c r="AX154">
        <v>9.1</v>
      </c>
    </row>
    <row r="155" spans="12:50" x14ac:dyDescent="0.15">
      <c r="L155" s="37">
        <v>151</v>
      </c>
      <c r="M155">
        <v>2015.11</v>
      </c>
      <c r="N155" s="26">
        <v>270616</v>
      </c>
      <c r="O155" s="26">
        <v>1</v>
      </c>
      <c r="P155" s="26">
        <v>157</v>
      </c>
      <c r="Q155" s="26">
        <v>28</v>
      </c>
      <c r="R155" s="26">
        <v>4.17</v>
      </c>
      <c r="S155" s="26">
        <v>3.02</v>
      </c>
      <c r="T155" s="26">
        <v>8.51</v>
      </c>
      <c r="U155" s="33">
        <v>9.8000000000000007</v>
      </c>
      <c r="V155" s="26">
        <v>2019.03</v>
      </c>
      <c r="W155" s="26">
        <v>300615</v>
      </c>
      <c r="X155" s="26">
        <v>1</v>
      </c>
      <c r="Y155" s="26">
        <v>275</v>
      </c>
      <c r="Z155" s="26">
        <v>30.3</v>
      </c>
      <c r="AA155" s="26">
        <v>4.53</v>
      </c>
      <c r="AB155" s="26">
        <v>3.43</v>
      </c>
      <c r="AC155" s="26">
        <v>9.0399999999999991</v>
      </c>
      <c r="AD155" s="26">
        <v>8</v>
      </c>
      <c r="AF155" s="37">
        <v>151</v>
      </c>
      <c r="AG155"/>
      <c r="AH155"/>
      <c r="AI155"/>
      <c r="AJ155"/>
      <c r="AK155"/>
      <c r="AL155"/>
      <c r="AM155"/>
      <c r="AN155"/>
      <c r="AO155"/>
      <c r="AP155" s="24">
        <v>2019.03</v>
      </c>
      <c r="AQ155">
        <v>300829</v>
      </c>
      <c r="AR155">
        <v>2</v>
      </c>
      <c r="AS155">
        <v>200</v>
      </c>
      <c r="AT155">
        <v>28</v>
      </c>
      <c r="AU155">
        <v>4.45</v>
      </c>
      <c r="AV155">
        <v>3.74</v>
      </c>
      <c r="AW155">
        <v>9.14</v>
      </c>
      <c r="AX155">
        <v>9.6999999999999993</v>
      </c>
    </row>
    <row r="156" spans="12:50" x14ac:dyDescent="0.15">
      <c r="L156" s="37">
        <v>152</v>
      </c>
      <c r="M156">
        <v>2015.11</v>
      </c>
      <c r="N156" s="26">
        <v>270614</v>
      </c>
      <c r="O156" s="26">
        <v>1</v>
      </c>
      <c r="P156" s="26">
        <v>159</v>
      </c>
      <c r="Q156" s="26">
        <v>34.4</v>
      </c>
      <c r="R156" s="26">
        <v>3.39</v>
      </c>
      <c r="S156" s="26">
        <v>2.95</v>
      </c>
      <c r="T156" s="26">
        <v>8.3800000000000008</v>
      </c>
      <c r="U156" s="33">
        <v>8.4</v>
      </c>
      <c r="V156" s="26">
        <v>2019.03</v>
      </c>
      <c r="W156" s="26">
        <v>300612</v>
      </c>
      <c r="X156" s="26">
        <v>1</v>
      </c>
      <c r="Y156" s="26">
        <v>278</v>
      </c>
      <c r="Z156" s="26">
        <v>28.7</v>
      </c>
      <c r="AA156" s="26">
        <v>3.55</v>
      </c>
      <c r="AB156" s="26">
        <v>3.21</v>
      </c>
      <c r="AC156" s="26">
        <v>8.5399999999999991</v>
      </c>
      <c r="AD156" s="26">
        <v>8.1999999999999993</v>
      </c>
      <c r="AF156" s="37">
        <v>152</v>
      </c>
      <c r="AG156"/>
      <c r="AH156"/>
      <c r="AI156"/>
      <c r="AJ156"/>
      <c r="AK156"/>
      <c r="AL156"/>
      <c r="AM156"/>
      <c r="AN156"/>
      <c r="AO156"/>
      <c r="AP156" s="24">
        <v>2019.03</v>
      </c>
      <c r="AQ156">
        <v>300829</v>
      </c>
      <c r="AR156">
        <v>2</v>
      </c>
      <c r="AS156">
        <v>200</v>
      </c>
      <c r="AT156">
        <v>31.8</v>
      </c>
      <c r="AU156">
        <v>5.24</v>
      </c>
      <c r="AV156">
        <v>3.75</v>
      </c>
      <c r="AW156">
        <v>9.14</v>
      </c>
      <c r="AX156">
        <v>9.1</v>
      </c>
    </row>
    <row r="157" spans="12:50" x14ac:dyDescent="0.15">
      <c r="L157" s="37">
        <v>153</v>
      </c>
      <c r="M157">
        <v>2015.11</v>
      </c>
      <c r="N157" s="26">
        <v>270610</v>
      </c>
      <c r="O157" s="26">
        <v>1</v>
      </c>
      <c r="P157" s="26">
        <v>163</v>
      </c>
      <c r="Q157" s="26">
        <v>31.7</v>
      </c>
      <c r="R157" s="26">
        <v>2.87</v>
      </c>
      <c r="S157" s="26">
        <v>3.01</v>
      </c>
      <c r="T157" s="26">
        <v>8.49</v>
      </c>
      <c r="U157" s="33">
        <v>9.1999999999999993</v>
      </c>
      <c r="V157" s="26">
        <v>2019.03</v>
      </c>
      <c r="W157" s="26">
        <v>300604</v>
      </c>
      <c r="X157" s="26">
        <v>1</v>
      </c>
      <c r="Y157" s="26">
        <v>286</v>
      </c>
      <c r="Z157" s="26">
        <v>31.7</v>
      </c>
      <c r="AA157" s="26">
        <v>4.5999999999999996</v>
      </c>
      <c r="AB157" s="26">
        <v>3.53</v>
      </c>
      <c r="AC157" s="26">
        <v>8.98</v>
      </c>
      <c r="AD157" s="26">
        <v>10.6</v>
      </c>
      <c r="AF157" s="37">
        <v>153</v>
      </c>
      <c r="AG157"/>
      <c r="AH157"/>
      <c r="AI157"/>
      <c r="AJ157"/>
      <c r="AK157"/>
      <c r="AL157"/>
      <c r="AM157"/>
      <c r="AN157"/>
      <c r="AO157"/>
      <c r="AP157" s="24">
        <v>2019.03</v>
      </c>
      <c r="AQ157">
        <v>300822</v>
      </c>
      <c r="AR157">
        <v>2</v>
      </c>
      <c r="AS157">
        <v>207</v>
      </c>
      <c r="AT157">
        <v>33.5</v>
      </c>
      <c r="AU157">
        <v>3.21</v>
      </c>
      <c r="AV157">
        <v>3.32</v>
      </c>
      <c r="AW157">
        <v>8.92</v>
      </c>
      <c r="AX157">
        <v>9.1999999999999993</v>
      </c>
    </row>
    <row r="158" spans="12:50" x14ac:dyDescent="0.15">
      <c r="L158" s="37">
        <v>154</v>
      </c>
      <c r="M158">
        <v>2015.11</v>
      </c>
      <c r="N158" s="26">
        <v>270609</v>
      </c>
      <c r="O158" s="26">
        <v>1</v>
      </c>
      <c r="P158" s="26">
        <v>164</v>
      </c>
      <c r="Q158" s="26">
        <v>37</v>
      </c>
      <c r="R158" s="26">
        <v>3.44</v>
      </c>
      <c r="S158" s="26">
        <v>3.2</v>
      </c>
      <c r="T158" s="26">
        <v>8.77</v>
      </c>
      <c r="U158" s="33">
        <v>11.6</v>
      </c>
      <c r="V158" s="26">
        <v>2019.03</v>
      </c>
      <c r="W158" s="26">
        <v>300601</v>
      </c>
      <c r="X158" s="26">
        <v>1</v>
      </c>
      <c r="Y158" s="26">
        <v>289</v>
      </c>
      <c r="Z158" s="26">
        <v>26.2</v>
      </c>
      <c r="AA158" s="26">
        <v>3.82</v>
      </c>
      <c r="AB158" s="26">
        <v>3.51</v>
      </c>
      <c r="AC158" s="26">
        <v>9.06</v>
      </c>
      <c r="AD158" s="26">
        <v>9.8000000000000007</v>
      </c>
      <c r="AF158" s="37">
        <v>154</v>
      </c>
      <c r="AG158"/>
      <c r="AH158"/>
      <c r="AI158"/>
      <c r="AJ158"/>
      <c r="AK158"/>
      <c r="AL158"/>
      <c r="AM158"/>
      <c r="AN158"/>
      <c r="AO158"/>
      <c r="AP158" s="24">
        <v>2019.03</v>
      </c>
      <c r="AQ158">
        <v>300803</v>
      </c>
      <c r="AR158">
        <v>2</v>
      </c>
      <c r="AS158">
        <v>226</v>
      </c>
      <c r="AT158">
        <v>40.799999999999997</v>
      </c>
      <c r="AU158">
        <v>4.09</v>
      </c>
      <c r="AV158">
        <v>3.44</v>
      </c>
      <c r="AW158">
        <v>8.36</v>
      </c>
      <c r="AX158">
        <v>9.1</v>
      </c>
    </row>
    <row r="159" spans="12:50" x14ac:dyDescent="0.15">
      <c r="L159" s="37">
        <v>155</v>
      </c>
      <c r="M159">
        <v>2015.11</v>
      </c>
      <c r="N159" s="26">
        <v>270608</v>
      </c>
      <c r="O159" s="26">
        <v>1</v>
      </c>
      <c r="P159" s="26">
        <v>165</v>
      </c>
      <c r="Q159" s="26">
        <v>23.2</v>
      </c>
      <c r="R159" s="26">
        <v>4.1500000000000004</v>
      </c>
      <c r="S159" s="26">
        <v>3.27</v>
      </c>
      <c r="T159" s="26">
        <v>8.8000000000000007</v>
      </c>
      <c r="U159" s="33">
        <v>5.0999999999999996</v>
      </c>
      <c r="V159" s="26">
        <v>2019.03</v>
      </c>
      <c r="W159" s="26">
        <v>300524</v>
      </c>
      <c r="X159" s="26">
        <v>1</v>
      </c>
      <c r="Y159" s="26">
        <v>297</v>
      </c>
      <c r="Z159" s="26">
        <v>26.9</v>
      </c>
      <c r="AA159" s="26">
        <v>3.58</v>
      </c>
      <c r="AB159" s="26">
        <v>3.42</v>
      </c>
      <c r="AC159" s="26">
        <v>8.7200000000000006</v>
      </c>
      <c r="AD159" s="26">
        <v>5.7</v>
      </c>
      <c r="AF159" s="37">
        <v>155</v>
      </c>
      <c r="AG159"/>
      <c r="AH159"/>
      <c r="AI159"/>
      <c r="AJ159"/>
      <c r="AK159"/>
      <c r="AL159"/>
      <c r="AM159"/>
      <c r="AN159"/>
      <c r="AO159"/>
      <c r="AP159" s="24">
        <v>2019.03</v>
      </c>
      <c r="AQ159">
        <v>300727</v>
      </c>
      <c r="AR159">
        <v>2</v>
      </c>
      <c r="AS159">
        <v>233</v>
      </c>
      <c r="AT159">
        <v>32.799999999999997</v>
      </c>
      <c r="AU159">
        <v>4.1100000000000003</v>
      </c>
      <c r="AV159">
        <v>3.02</v>
      </c>
      <c r="AW159">
        <v>8.43</v>
      </c>
      <c r="AX159">
        <v>9.3000000000000007</v>
      </c>
    </row>
    <row r="160" spans="12:50" x14ac:dyDescent="0.15">
      <c r="L160" s="37">
        <v>156</v>
      </c>
      <c r="M160">
        <v>2015.11</v>
      </c>
      <c r="N160" s="26">
        <v>270608</v>
      </c>
      <c r="O160" s="26">
        <v>1</v>
      </c>
      <c r="P160" s="26">
        <v>165</v>
      </c>
      <c r="Q160" s="26">
        <v>21.5</v>
      </c>
      <c r="R160" s="26">
        <v>3.81</v>
      </c>
      <c r="S160" s="26">
        <v>3.15</v>
      </c>
      <c r="T160" s="26">
        <v>8.69</v>
      </c>
      <c r="U160" s="33">
        <v>7.2</v>
      </c>
      <c r="V160" s="26"/>
      <c r="W160" s="26"/>
      <c r="X160" s="26"/>
      <c r="Y160" s="26"/>
      <c r="Z160" s="26"/>
      <c r="AA160" s="26"/>
      <c r="AB160" s="26"/>
      <c r="AC160" s="26"/>
      <c r="AD160" s="26"/>
      <c r="AF160" s="37">
        <v>156</v>
      </c>
      <c r="AG160"/>
      <c r="AH160"/>
      <c r="AI160"/>
      <c r="AJ160"/>
      <c r="AK160"/>
      <c r="AL160"/>
      <c r="AM160"/>
      <c r="AN160"/>
      <c r="AO160"/>
      <c r="AP160" s="24">
        <v>2019.03</v>
      </c>
      <c r="AQ160">
        <v>300723</v>
      </c>
      <c r="AR160">
        <v>2</v>
      </c>
      <c r="AS160">
        <v>237</v>
      </c>
      <c r="AT160">
        <v>29.1</v>
      </c>
      <c r="AU160">
        <v>4.05</v>
      </c>
      <c r="AV160">
        <v>3.64</v>
      </c>
      <c r="AW160">
        <v>8.9</v>
      </c>
      <c r="AX160">
        <v>8.6999999999999993</v>
      </c>
    </row>
    <row r="161" spans="12:50" x14ac:dyDescent="0.15">
      <c r="L161" s="37">
        <v>157</v>
      </c>
      <c r="M161">
        <v>2015.11</v>
      </c>
      <c r="N161" s="26">
        <v>270605</v>
      </c>
      <c r="O161" s="26">
        <v>1</v>
      </c>
      <c r="P161" s="26">
        <v>168</v>
      </c>
      <c r="Q161" s="26">
        <v>34.6</v>
      </c>
      <c r="R161" s="26">
        <v>4.1100000000000003</v>
      </c>
      <c r="S161" s="26">
        <v>3.31</v>
      </c>
      <c r="T161" s="26">
        <v>8.92</v>
      </c>
      <c r="U161" s="33">
        <v>9.1</v>
      </c>
      <c r="V161" s="26"/>
      <c r="W161" s="26"/>
      <c r="X161" s="26"/>
      <c r="Y161" s="26"/>
      <c r="Z161" s="26"/>
      <c r="AA161" s="26"/>
      <c r="AB161" s="26"/>
      <c r="AC161" s="26"/>
      <c r="AD161" s="26"/>
      <c r="AF161" s="37">
        <v>157</v>
      </c>
      <c r="AG161"/>
      <c r="AH161"/>
      <c r="AI161"/>
      <c r="AJ161"/>
      <c r="AK161"/>
      <c r="AL161"/>
      <c r="AM161"/>
      <c r="AN161"/>
      <c r="AO161"/>
      <c r="AP161" s="24">
        <v>2019.03</v>
      </c>
      <c r="AQ161">
        <v>300709</v>
      </c>
      <c r="AR161">
        <v>2</v>
      </c>
      <c r="AS161">
        <v>251</v>
      </c>
      <c r="AT161">
        <v>30.5</v>
      </c>
      <c r="AU161">
        <v>4.29</v>
      </c>
      <c r="AV161">
        <v>3.17</v>
      </c>
      <c r="AW161">
        <v>8.59</v>
      </c>
      <c r="AX161">
        <v>10.9</v>
      </c>
    </row>
    <row r="162" spans="12:50" x14ac:dyDescent="0.15">
      <c r="L162" s="37">
        <v>158</v>
      </c>
      <c r="M162">
        <v>2015.11</v>
      </c>
      <c r="N162" s="26">
        <v>270524</v>
      </c>
      <c r="O162" s="26">
        <v>1</v>
      </c>
      <c r="P162" s="26">
        <v>180</v>
      </c>
      <c r="Q162" s="26">
        <v>28.1</v>
      </c>
      <c r="R162" s="26">
        <v>5.19</v>
      </c>
      <c r="S162" s="26">
        <v>3.59</v>
      </c>
      <c r="T162" s="26">
        <v>9.0500000000000007</v>
      </c>
      <c r="U162" s="33">
        <v>9.9</v>
      </c>
      <c r="V162" s="26"/>
      <c r="W162" s="26"/>
      <c r="X162" s="26"/>
      <c r="Y162" s="26"/>
      <c r="Z162" s="26"/>
      <c r="AA162" s="26"/>
      <c r="AB162" s="26"/>
      <c r="AC162" s="26"/>
      <c r="AD162" s="26"/>
      <c r="AF162" s="37">
        <v>158</v>
      </c>
      <c r="AG162"/>
      <c r="AH162"/>
      <c r="AI162"/>
      <c r="AJ162"/>
      <c r="AK162"/>
      <c r="AL162"/>
      <c r="AM162"/>
      <c r="AN162"/>
      <c r="AO162"/>
      <c r="AP162" s="24">
        <v>2019.03</v>
      </c>
      <c r="AQ162">
        <v>300701</v>
      </c>
      <c r="AR162">
        <v>2</v>
      </c>
      <c r="AS162">
        <v>259</v>
      </c>
      <c r="AT162">
        <v>35.299999999999997</v>
      </c>
      <c r="AU162">
        <v>4.6100000000000003</v>
      </c>
      <c r="AV162">
        <v>3.35</v>
      </c>
      <c r="AW162">
        <v>8.89</v>
      </c>
      <c r="AX162">
        <v>12.1</v>
      </c>
    </row>
    <row r="163" spans="12:50" x14ac:dyDescent="0.15">
      <c r="L163" s="37">
        <v>159</v>
      </c>
      <c r="M163">
        <v>2015.11</v>
      </c>
      <c r="N163" s="26">
        <v>270516</v>
      </c>
      <c r="O163" s="26">
        <v>1</v>
      </c>
      <c r="P163" s="26">
        <v>188</v>
      </c>
      <c r="Q163" s="26">
        <v>30.5</v>
      </c>
      <c r="R163" s="26">
        <v>3.23</v>
      </c>
      <c r="S163" s="26">
        <v>2.8</v>
      </c>
      <c r="T163" s="26">
        <v>8.19</v>
      </c>
      <c r="U163" s="33">
        <v>7.4</v>
      </c>
      <c r="V163" s="26"/>
      <c r="W163" s="26"/>
      <c r="X163" s="26"/>
      <c r="Y163" s="26"/>
      <c r="Z163" s="26"/>
      <c r="AA163" s="26"/>
      <c r="AB163" s="26"/>
      <c r="AC163" s="26"/>
      <c r="AD163" s="26"/>
      <c r="AF163" s="37">
        <v>159</v>
      </c>
      <c r="AG163"/>
      <c r="AH163"/>
      <c r="AI163"/>
      <c r="AJ163"/>
      <c r="AK163"/>
      <c r="AL163"/>
      <c r="AM163"/>
      <c r="AN163"/>
      <c r="AO163"/>
      <c r="AP163" s="24">
        <v>2017.11</v>
      </c>
      <c r="AQ163">
        <v>290621</v>
      </c>
      <c r="AR163">
        <v>3</v>
      </c>
      <c r="AS163">
        <v>150</v>
      </c>
      <c r="AT163">
        <v>39</v>
      </c>
      <c r="AU163">
        <v>3.89</v>
      </c>
      <c r="AV163">
        <v>3.02</v>
      </c>
      <c r="AW163">
        <v>8.23</v>
      </c>
      <c r="AX163">
        <v>5.9</v>
      </c>
    </row>
    <row r="164" spans="12:50" x14ac:dyDescent="0.15">
      <c r="L164" s="37">
        <v>160</v>
      </c>
      <c r="M164">
        <v>2015.11</v>
      </c>
      <c r="N164" s="26">
        <v>270516</v>
      </c>
      <c r="O164" s="26">
        <v>1</v>
      </c>
      <c r="P164" s="26">
        <v>188</v>
      </c>
      <c r="Q164" s="26">
        <v>28.6</v>
      </c>
      <c r="R164" s="26">
        <v>3.78</v>
      </c>
      <c r="S164" s="26">
        <v>3.24</v>
      </c>
      <c r="T164" s="26">
        <v>8.9700000000000006</v>
      </c>
      <c r="U164" s="33">
        <v>12.3</v>
      </c>
      <c r="V164" s="26"/>
      <c r="W164" s="26"/>
      <c r="X164" s="26"/>
      <c r="Y164" s="26"/>
      <c r="Z164" s="26"/>
      <c r="AA164" s="26"/>
      <c r="AB164" s="26"/>
      <c r="AC164" s="26"/>
      <c r="AD164" s="26"/>
      <c r="AF164" s="37">
        <v>160</v>
      </c>
      <c r="AG164"/>
      <c r="AH164"/>
      <c r="AI164"/>
      <c r="AJ164"/>
      <c r="AK164"/>
      <c r="AL164"/>
      <c r="AM164"/>
      <c r="AN164"/>
      <c r="AO164"/>
      <c r="AP164" s="24">
        <v>2017.11</v>
      </c>
      <c r="AQ164">
        <v>290506</v>
      </c>
      <c r="AR164">
        <v>3</v>
      </c>
      <c r="AS164">
        <v>196</v>
      </c>
      <c r="AT164">
        <v>36.1</v>
      </c>
      <c r="AU164">
        <v>3.74</v>
      </c>
      <c r="AV164">
        <v>2.68</v>
      </c>
      <c r="AW164">
        <v>8.18</v>
      </c>
      <c r="AX164">
        <v>12.8</v>
      </c>
    </row>
    <row r="165" spans="12:50" x14ac:dyDescent="0.15">
      <c r="L165" s="37">
        <v>161</v>
      </c>
      <c r="M165">
        <v>2015.11</v>
      </c>
      <c r="N165" s="26">
        <v>270507</v>
      </c>
      <c r="O165" s="26">
        <v>1</v>
      </c>
      <c r="P165" s="26">
        <v>197</v>
      </c>
      <c r="Q165" s="26">
        <v>39.1</v>
      </c>
      <c r="R165" s="26">
        <v>3.22</v>
      </c>
      <c r="S165" s="26">
        <v>3.08</v>
      </c>
      <c r="T165" s="26">
        <v>8.36</v>
      </c>
      <c r="U165" s="33">
        <v>6.7</v>
      </c>
      <c r="V165" s="26"/>
      <c r="W165" s="26"/>
      <c r="X165" s="26"/>
      <c r="Y165" s="26"/>
      <c r="Z165" s="26"/>
      <c r="AA165" s="26"/>
      <c r="AB165" s="26"/>
      <c r="AC165" s="26"/>
      <c r="AD165" s="26"/>
      <c r="AF165" s="37">
        <v>161</v>
      </c>
      <c r="AG165"/>
      <c r="AH165"/>
      <c r="AI165"/>
      <c r="AJ165"/>
      <c r="AK165"/>
      <c r="AL165"/>
      <c r="AM165"/>
      <c r="AN165"/>
      <c r="AO165"/>
      <c r="AP165" s="24">
        <v>2017.11</v>
      </c>
      <c r="AQ165">
        <v>290423</v>
      </c>
      <c r="AR165">
        <v>3</v>
      </c>
      <c r="AS165">
        <v>209</v>
      </c>
      <c r="AT165">
        <v>26.1</v>
      </c>
      <c r="AU165">
        <v>4.42</v>
      </c>
      <c r="AV165">
        <v>3.9</v>
      </c>
      <c r="AW165">
        <v>9.4700000000000006</v>
      </c>
      <c r="AX165">
        <v>7.5</v>
      </c>
    </row>
    <row r="166" spans="12:50" x14ac:dyDescent="0.15">
      <c r="L166" s="37">
        <v>162</v>
      </c>
      <c r="M166">
        <v>2015.11</v>
      </c>
      <c r="N166" s="26">
        <v>270505</v>
      </c>
      <c r="O166" s="26">
        <v>1</v>
      </c>
      <c r="P166" s="26">
        <v>199</v>
      </c>
      <c r="Q166" s="26">
        <v>37.4</v>
      </c>
      <c r="R166" s="26">
        <v>3.75</v>
      </c>
      <c r="S166" s="26">
        <v>3.11</v>
      </c>
      <c r="T166" s="26">
        <v>8.75</v>
      </c>
      <c r="U166" s="33">
        <v>11.3</v>
      </c>
      <c r="V166" s="26"/>
      <c r="W166" s="26"/>
      <c r="X166" s="26"/>
      <c r="Y166" s="26"/>
      <c r="Z166" s="26"/>
      <c r="AA166" s="26"/>
      <c r="AB166" s="26"/>
      <c r="AC166" s="26"/>
      <c r="AD166" s="26"/>
      <c r="AF166" s="37">
        <v>162</v>
      </c>
      <c r="AG166"/>
      <c r="AH166"/>
      <c r="AI166"/>
      <c r="AJ166"/>
      <c r="AK166"/>
      <c r="AL166"/>
      <c r="AM166"/>
      <c r="AN166"/>
      <c r="AO166"/>
      <c r="AP166" s="24">
        <v>2017.11</v>
      </c>
      <c r="AQ166">
        <v>290327</v>
      </c>
      <c r="AR166">
        <v>3</v>
      </c>
      <c r="AS166">
        <v>236</v>
      </c>
      <c r="AT166">
        <v>31.1</v>
      </c>
      <c r="AU166">
        <v>4.2300000000000004</v>
      </c>
      <c r="AV166">
        <v>3.39</v>
      </c>
      <c r="AW166">
        <v>8.9499999999999993</v>
      </c>
      <c r="AX166">
        <v>9.6999999999999993</v>
      </c>
    </row>
    <row r="167" spans="12:50" x14ac:dyDescent="0.15">
      <c r="L167" s="37">
        <v>163</v>
      </c>
      <c r="M167">
        <v>2015.11</v>
      </c>
      <c r="N167" s="26">
        <v>270420</v>
      </c>
      <c r="O167" s="26">
        <v>1</v>
      </c>
      <c r="P167" s="26">
        <v>214</v>
      </c>
      <c r="Q167" s="26">
        <v>44.2</v>
      </c>
      <c r="R167" s="26">
        <v>2.4900000000000002</v>
      </c>
      <c r="S167" s="26">
        <v>3.44</v>
      </c>
      <c r="T167" s="26">
        <v>9.19</v>
      </c>
      <c r="U167" s="33">
        <v>7.9</v>
      </c>
      <c r="V167" s="26"/>
      <c r="W167" s="26"/>
      <c r="X167" s="26"/>
      <c r="Y167" s="26"/>
      <c r="Z167" s="26"/>
      <c r="AA167" s="26"/>
      <c r="AB167" s="26"/>
      <c r="AC167" s="26"/>
      <c r="AD167" s="26"/>
      <c r="AF167" s="37">
        <v>163</v>
      </c>
      <c r="AG167"/>
      <c r="AH167"/>
      <c r="AI167"/>
      <c r="AJ167"/>
      <c r="AK167"/>
      <c r="AL167"/>
      <c r="AM167"/>
      <c r="AN167"/>
      <c r="AO167"/>
      <c r="AP167" s="24">
        <v>2017.11</v>
      </c>
      <c r="AQ167">
        <v>290321</v>
      </c>
      <c r="AR167">
        <v>3</v>
      </c>
      <c r="AS167">
        <v>242</v>
      </c>
      <c r="AT167">
        <v>35.4</v>
      </c>
      <c r="AU167">
        <v>3.76</v>
      </c>
      <c r="AV167">
        <v>3.08</v>
      </c>
      <c r="AW167">
        <v>8.2200000000000006</v>
      </c>
      <c r="AX167">
        <v>10.6</v>
      </c>
    </row>
    <row r="168" spans="12:50" x14ac:dyDescent="0.15">
      <c r="L168" s="37">
        <v>164</v>
      </c>
      <c r="M168">
        <v>2015.11</v>
      </c>
      <c r="N168" s="26">
        <v>270419</v>
      </c>
      <c r="O168" s="26">
        <v>1</v>
      </c>
      <c r="P168" s="26">
        <v>215</v>
      </c>
      <c r="Q168" s="26">
        <v>35.6</v>
      </c>
      <c r="R168" s="26">
        <v>4.53</v>
      </c>
      <c r="S168" s="26">
        <v>3.6</v>
      </c>
      <c r="T168" s="26">
        <v>9.11</v>
      </c>
      <c r="U168" s="33">
        <v>7.9</v>
      </c>
      <c r="V168" s="26"/>
      <c r="W168" s="26"/>
      <c r="X168" s="26"/>
      <c r="Y168" s="26"/>
      <c r="Z168" s="26"/>
      <c r="AA168" s="26"/>
      <c r="AB168" s="26"/>
      <c r="AC168" s="26"/>
      <c r="AD168" s="26"/>
      <c r="AF168" s="37">
        <v>164</v>
      </c>
      <c r="AG168"/>
      <c r="AH168"/>
      <c r="AI168"/>
      <c r="AJ168"/>
      <c r="AK168"/>
      <c r="AL168"/>
      <c r="AM168"/>
      <c r="AN168"/>
      <c r="AO168"/>
      <c r="AP168" s="24">
        <v>2017.11</v>
      </c>
      <c r="AQ168">
        <v>290301</v>
      </c>
      <c r="AR168">
        <v>3</v>
      </c>
      <c r="AS168">
        <v>262</v>
      </c>
      <c r="AT168">
        <v>30.6</v>
      </c>
      <c r="AU168">
        <v>4.37</v>
      </c>
      <c r="AV168">
        <v>3.5</v>
      </c>
      <c r="AW168">
        <v>8.73</v>
      </c>
      <c r="AX168">
        <v>5.2</v>
      </c>
    </row>
    <row r="169" spans="12:50" x14ac:dyDescent="0.15">
      <c r="L169" s="37">
        <v>165</v>
      </c>
      <c r="M169">
        <v>2015.11</v>
      </c>
      <c r="N169" s="26">
        <v>270408</v>
      </c>
      <c r="O169" s="26">
        <v>1</v>
      </c>
      <c r="P169" s="26">
        <v>226</v>
      </c>
      <c r="Q169" s="26">
        <v>30.6</v>
      </c>
      <c r="R169" s="26">
        <v>4.17</v>
      </c>
      <c r="S169" s="26">
        <v>3.72</v>
      </c>
      <c r="T169" s="26">
        <v>9.11</v>
      </c>
      <c r="U169" s="33">
        <v>10.4</v>
      </c>
      <c r="V169" s="26"/>
      <c r="W169" s="26"/>
      <c r="X169" s="26"/>
      <c r="Y169" s="26"/>
      <c r="Z169" s="26"/>
      <c r="AA169" s="26"/>
      <c r="AB169" s="26"/>
      <c r="AC169" s="26"/>
      <c r="AD169" s="26"/>
      <c r="AF169" s="37">
        <v>165</v>
      </c>
      <c r="AG169"/>
      <c r="AH169"/>
      <c r="AI169"/>
      <c r="AJ169"/>
      <c r="AK169"/>
      <c r="AL169"/>
      <c r="AM169"/>
      <c r="AN169"/>
      <c r="AO169"/>
      <c r="AP169" s="24">
        <v>2017.12</v>
      </c>
      <c r="AQ169">
        <v>290826</v>
      </c>
      <c r="AR169">
        <v>3</v>
      </c>
      <c r="AS169">
        <v>113</v>
      </c>
      <c r="AT169">
        <v>30</v>
      </c>
      <c r="AU169">
        <v>3.75</v>
      </c>
      <c r="AV169">
        <v>3.16</v>
      </c>
      <c r="AW169">
        <v>8.7799999999999994</v>
      </c>
      <c r="AX169">
        <v>7.1</v>
      </c>
    </row>
    <row r="170" spans="12:50" x14ac:dyDescent="0.15">
      <c r="L170" s="37">
        <v>166</v>
      </c>
      <c r="M170">
        <v>2015.11</v>
      </c>
      <c r="N170" s="26">
        <v>270406</v>
      </c>
      <c r="O170" s="26">
        <v>1</v>
      </c>
      <c r="P170" s="26">
        <v>228</v>
      </c>
      <c r="Q170" s="26">
        <v>36.1</v>
      </c>
      <c r="R170" s="26">
        <v>3.93</v>
      </c>
      <c r="S170" s="26">
        <v>3.16</v>
      </c>
      <c r="T170" s="26">
        <v>8.58</v>
      </c>
      <c r="U170" s="33">
        <v>6.8</v>
      </c>
      <c r="V170" s="26"/>
      <c r="W170" s="26"/>
      <c r="X170" s="26"/>
      <c r="Y170" s="26"/>
      <c r="Z170" s="26"/>
      <c r="AA170" s="26"/>
      <c r="AB170" s="26"/>
      <c r="AC170" s="26"/>
      <c r="AD170" s="26"/>
      <c r="AF170" s="37">
        <v>166</v>
      </c>
      <c r="AG170"/>
      <c r="AH170"/>
      <c r="AI170"/>
      <c r="AJ170"/>
      <c r="AK170"/>
      <c r="AL170"/>
      <c r="AM170"/>
      <c r="AN170"/>
      <c r="AO170"/>
      <c r="AP170" s="24">
        <v>2017.12</v>
      </c>
      <c r="AQ170">
        <v>290824</v>
      </c>
      <c r="AR170">
        <v>3</v>
      </c>
      <c r="AS170">
        <v>115</v>
      </c>
      <c r="AT170">
        <v>22.8</v>
      </c>
      <c r="AU170">
        <v>4.55</v>
      </c>
      <c r="AV170">
        <v>3.16</v>
      </c>
      <c r="AW170">
        <v>8.5399999999999991</v>
      </c>
      <c r="AX170">
        <v>5</v>
      </c>
    </row>
    <row r="171" spans="12:50" x14ac:dyDescent="0.15">
      <c r="L171" s="37">
        <v>167</v>
      </c>
      <c r="M171">
        <v>2015.11</v>
      </c>
      <c r="N171" s="26">
        <v>270324</v>
      </c>
      <c r="O171" s="26">
        <v>1</v>
      </c>
      <c r="P171" s="26">
        <v>241</v>
      </c>
      <c r="Q171" s="26">
        <v>29.7</v>
      </c>
      <c r="R171" s="26">
        <v>3.91</v>
      </c>
      <c r="S171" s="26">
        <v>3.53</v>
      </c>
      <c r="T171" s="26">
        <v>9.3000000000000007</v>
      </c>
      <c r="U171" s="33">
        <v>9</v>
      </c>
      <c r="V171" s="26"/>
      <c r="W171" s="26"/>
      <c r="X171" s="26"/>
      <c r="Y171" s="26"/>
      <c r="Z171" s="26"/>
      <c r="AA171" s="26"/>
      <c r="AB171" s="26"/>
      <c r="AC171" s="26"/>
      <c r="AD171" s="26"/>
      <c r="AF171" s="37">
        <v>167</v>
      </c>
      <c r="AG171"/>
      <c r="AH171"/>
      <c r="AI171"/>
      <c r="AJ171"/>
      <c r="AK171"/>
      <c r="AL171"/>
      <c r="AM171"/>
      <c r="AN171"/>
      <c r="AO171"/>
      <c r="AP171" s="24">
        <v>2017.12</v>
      </c>
      <c r="AQ171">
        <v>290819</v>
      </c>
      <c r="AR171">
        <v>3</v>
      </c>
      <c r="AS171">
        <v>120</v>
      </c>
      <c r="AT171">
        <v>49.6</v>
      </c>
      <c r="AU171">
        <v>2.93</v>
      </c>
      <c r="AV171">
        <v>3.21</v>
      </c>
      <c r="AW171">
        <v>8.68</v>
      </c>
      <c r="AX171">
        <v>5.0999999999999996</v>
      </c>
    </row>
    <row r="172" spans="12:50" x14ac:dyDescent="0.15">
      <c r="L172" s="37">
        <v>168</v>
      </c>
      <c r="M172">
        <v>2015.11</v>
      </c>
      <c r="N172" s="26">
        <v>270319</v>
      </c>
      <c r="O172" s="26">
        <v>1</v>
      </c>
      <c r="P172" s="26">
        <v>246</v>
      </c>
      <c r="Q172" s="26">
        <v>39.6</v>
      </c>
      <c r="R172" s="26">
        <v>2.62</v>
      </c>
      <c r="S172" s="26">
        <v>3.44</v>
      </c>
      <c r="T172" s="26">
        <v>8.99</v>
      </c>
      <c r="U172" s="33">
        <v>7.4</v>
      </c>
      <c r="V172" s="26"/>
      <c r="W172" s="26"/>
      <c r="X172" s="26"/>
      <c r="Y172" s="26"/>
      <c r="Z172" s="26"/>
      <c r="AA172" s="26"/>
      <c r="AB172" s="26"/>
      <c r="AC172" s="26"/>
      <c r="AD172" s="26"/>
      <c r="AF172" s="37">
        <v>168</v>
      </c>
      <c r="AG172"/>
      <c r="AH172"/>
      <c r="AI172"/>
      <c r="AJ172"/>
      <c r="AK172"/>
      <c r="AL172"/>
      <c r="AM172"/>
      <c r="AN172"/>
      <c r="AO172"/>
      <c r="AP172" s="24">
        <v>2017.12</v>
      </c>
      <c r="AQ172">
        <v>290621</v>
      </c>
      <c r="AR172">
        <v>3</v>
      </c>
      <c r="AS172">
        <v>179</v>
      </c>
      <c r="AT172">
        <v>38</v>
      </c>
      <c r="AU172">
        <v>3.68</v>
      </c>
      <c r="AV172">
        <v>3.11</v>
      </c>
      <c r="AW172">
        <v>8.36</v>
      </c>
      <c r="AX172">
        <v>7.1</v>
      </c>
    </row>
    <row r="173" spans="12:50" x14ac:dyDescent="0.15">
      <c r="L173" s="37">
        <v>169</v>
      </c>
      <c r="M173">
        <v>2015.11</v>
      </c>
      <c r="N173" s="26">
        <v>270310</v>
      </c>
      <c r="O173" s="26">
        <v>1</v>
      </c>
      <c r="P173" s="26">
        <v>255</v>
      </c>
      <c r="Q173" s="26">
        <v>31.1</v>
      </c>
      <c r="R173" s="26">
        <v>3.89</v>
      </c>
      <c r="S173" s="26">
        <v>3.56</v>
      </c>
      <c r="T173" s="26">
        <v>9.18</v>
      </c>
      <c r="U173" s="33">
        <v>6.7</v>
      </c>
      <c r="V173" s="26"/>
      <c r="W173" s="26"/>
      <c r="X173" s="26"/>
      <c r="Y173" s="26"/>
      <c r="Z173" s="26"/>
      <c r="AA173" s="26"/>
      <c r="AB173" s="26"/>
      <c r="AC173" s="26"/>
      <c r="AD173" s="26"/>
      <c r="AF173" s="37">
        <v>169</v>
      </c>
      <c r="AG173"/>
      <c r="AH173"/>
      <c r="AI173"/>
      <c r="AJ173"/>
      <c r="AK173"/>
      <c r="AL173"/>
      <c r="AM173"/>
      <c r="AN173"/>
      <c r="AO173"/>
      <c r="AP173" s="24">
        <v>2017.12</v>
      </c>
      <c r="AQ173">
        <v>290506</v>
      </c>
      <c r="AR173">
        <v>3</v>
      </c>
      <c r="AS173">
        <v>225</v>
      </c>
      <c r="AT173">
        <v>39.799999999999997</v>
      </c>
      <c r="AU173">
        <v>3.16</v>
      </c>
      <c r="AV173">
        <v>2.91</v>
      </c>
      <c r="AW173">
        <v>8.24</v>
      </c>
      <c r="AX173">
        <v>5.9</v>
      </c>
    </row>
    <row r="174" spans="12:50" x14ac:dyDescent="0.15">
      <c r="L174" s="37">
        <v>170</v>
      </c>
      <c r="M174">
        <v>2015.11</v>
      </c>
      <c r="N174" s="26">
        <v>270304</v>
      </c>
      <c r="O174" s="26">
        <v>1</v>
      </c>
      <c r="P174" s="26">
        <v>261</v>
      </c>
      <c r="Q174" s="26">
        <v>37.799999999999997</v>
      </c>
      <c r="R174" s="26">
        <v>3.46</v>
      </c>
      <c r="S174" s="26">
        <v>3.4</v>
      </c>
      <c r="T174" s="26">
        <v>9.1300000000000008</v>
      </c>
      <c r="U174" s="33">
        <v>8.1999999999999993</v>
      </c>
      <c r="V174" s="26"/>
      <c r="W174" s="26"/>
      <c r="X174" s="26"/>
      <c r="Y174" s="26"/>
      <c r="Z174" s="26"/>
      <c r="AA174" s="26"/>
      <c r="AB174" s="26"/>
      <c r="AC174" s="26"/>
      <c r="AD174" s="26"/>
      <c r="AF174" s="37">
        <v>170</v>
      </c>
      <c r="AG174"/>
      <c r="AH174"/>
      <c r="AI174"/>
      <c r="AJ174"/>
      <c r="AK174"/>
      <c r="AL174"/>
      <c r="AM174"/>
      <c r="AN174"/>
      <c r="AO174"/>
      <c r="AP174" s="24">
        <v>2017.12</v>
      </c>
      <c r="AQ174">
        <v>290423</v>
      </c>
      <c r="AR174">
        <v>3</v>
      </c>
      <c r="AS174">
        <v>238</v>
      </c>
      <c r="AT174">
        <v>27.1</v>
      </c>
      <c r="AU174">
        <v>4.91</v>
      </c>
      <c r="AV174">
        <v>3.95</v>
      </c>
      <c r="AW174">
        <v>9.41</v>
      </c>
      <c r="AX174">
        <v>10</v>
      </c>
    </row>
    <row r="175" spans="12:50" x14ac:dyDescent="0.15">
      <c r="L175" s="37">
        <v>171</v>
      </c>
      <c r="M175">
        <v>2015.11</v>
      </c>
      <c r="N175" s="26">
        <v>270201</v>
      </c>
      <c r="O175" s="26">
        <v>1</v>
      </c>
      <c r="P175" s="26">
        <v>292</v>
      </c>
      <c r="Q175" s="26">
        <v>30.7</v>
      </c>
      <c r="R175" s="26">
        <v>2.9</v>
      </c>
      <c r="S175" s="26">
        <v>3.09</v>
      </c>
      <c r="T175" s="26">
        <v>8.49</v>
      </c>
      <c r="U175" s="33">
        <v>6.9</v>
      </c>
      <c r="V175" s="26"/>
      <c r="W175" s="26"/>
      <c r="X175" s="26"/>
      <c r="Y175" s="26"/>
      <c r="Z175" s="26"/>
      <c r="AA175" s="26"/>
      <c r="AB175" s="26"/>
      <c r="AC175" s="26"/>
      <c r="AD175" s="26"/>
      <c r="AF175" s="37">
        <v>171</v>
      </c>
      <c r="AG175"/>
      <c r="AH175"/>
      <c r="AI175"/>
      <c r="AJ175"/>
      <c r="AK175"/>
      <c r="AL175"/>
      <c r="AM175"/>
      <c r="AN175"/>
      <c r="AO175"/>
      <c r="AP175" s="24">
        <v>2017.12</v>
      </c>
      <c r="AQ175">
        <v>290327</v>
      </c>
      <c r="AR175">
        <v>3</v>
      </c>
      <c r="AS175">
        <v>265</v>
      </c>
      <c r="AT175">
        <v>27.5</v>
      </c>
      <c r="AU175">
        <v>4.5</v>
      </c>
      <c r="AV175">
        <v>3.56</v>
      </c>
      <c r="AW175">
        <v>8.9499999999999993</v>
      </c>
      <c r="AX175">
        <v>8.1</v>
      </c>
    </row>
    <row r="176" spans="12:50" x14ac:dyDescent="0.15">
      <c r="L176" s="37">
        <v>172</v>
      </c>
      <c r="M176">
        <v>2015.12</v>
      </c>
      <c r="N176" s="26">
        <v>270908</v>
      </c>
      <c r="O176" s="26">
        <v>1</v>
      </c>
      <c r="P176" s="26">
        <v>100</v>
      </c>
      <c r="Q176" s="26">
        <v>30.7</v>
      </c>
      <c r="R176" s="26">
        <v>3.79</v>
      </c>
      <c r="S176" s="26">
        <v>3.41</v>
      </c>
      <c r="T176" s="26">
        <v>9.19</v>
      </c>
      <c r="U176" s="33">
        <v>7.7</v>
      </c>
      <c r="V176" s="26"/>
      <c r="W176" s="26"/>
      <c r="X176" s="26"/>
      <c r="Y176" s="26"/>
      <c r="Z176" s="26"/>
      <c r="AA176" s="26"/>
      <c r="AB176" s="26"/>
      <c r="AC176" s="26"/>
      <c r="AD176" s="26"/>
      <c r="AF176" s="37">
        <v>172</v>
      </c>
      <c r="AG176"/>
      <c r="AH176"/>
      <c r="AI176"/>
      <c r="AJ176"/>
      <c r="AK176"/>
      <c r="AL176"/>
      <c r="AM176"/>
      <c r="AN176"/>
      <c r="AO176"/>
      <c r="AP176" s="24">
        <v>2017.12</v>
      </c>
      <c r="AQ176">
        <v>290321</v>
      </c>
      <c r="AR176">
        <v>3</v>
      </c>
      <c r="AS176">
        <v>271</v>
      </c>
      <c r="AT176">
        <v>40.1</v>
      </c>
      <c r="AU176">
        <v>5.12</v>
      </c>
      <c r="AV176">
        <v>3.15</v>
      </c>
      <c r="AW176">
        <v>8.2799999999999994</v>
      </c>
      <c r="AX176">
        <v>5.9</v>
      </c>
    </row>
    <row r="177" spans="12:50" x14ac:dyDescent="0.15">
      <c r="L177" s="37">
        <v>173</v>
      </c>
      <c r="M177">
        <v>2015.12</v>
      </c>
      <c r="N177" s="26">
        <v>270901</v>
      </c>
      <c r="O177" s="26">
        <v>1</v>
      </c>
      <c r="P177" s="26">
        <v>107</v>
      </c>
      <c r="Q177" s="26">
        <v>44.3</v>
      </c>
      <c r="R177" s="26">
        <v>3.89</v>
      </c>
      <c r="S177" s="26">
        <v>3.18</v>
      </c>
      <c r="T177" s="26">
        <v>8.77</v>
      </c>
      <c r="U177" s="33">
        <v>11.1</v>
      </c>
      <c r="V177" s="26"/>
      <c r="W177" s="26"/>
      <c r="X177" s="26"/>
      <c r="Y177" s="26"/>
      <c r="Z177" s="26"/>
      <c r="AA177" s="26"/>
      <c r="AB177" s="26"/>
      <c r="AC177" s="26"/>
      <c r="AD177" s="26"/>
      <c r="AF177" s="37">
        <v>173</v>
      </c>
      <c r="AG177"/>
      <c r="AH177"/>
      <c r="AI177"/>
      <c r="AJ177"/>
      <c r="AK177"/>
      <c r="AL177"/>
      <c r="AM177"/>
      <c r="AN177"/>
      <c r="AO177"/>
      <c r="AP177" s="24">
        <v>2017.12</v>
      </c>
      <c r="AQ177">
        <v>290301</v>
      </c>
      <c r="AR177">
        <v>3</v>
      </c>
      <c r="AS177">
        <v>291</v>
      </c>
      <c r="AT177">
        <v>40.799999999999997</v>
      </c>
      <c r="AU177">
        <v>4.0199999999999996</v>
      </c>
      <c r="AV177">
        <v>3.3</v>
      </c>
      <c r="AW177">
        <v>8.8000000000000007</v>
      </c>
      <c r="AX177">
        <v>6.5</v>
      </c>
    </row>
    <row r="178" spans="12:50" x14ac:dyDescent="0.15">
      <c r="L178" s="37">
        <v>174</v>
      </c>
      <c r="M178">
        <v>2015.12</v>
      </c>
      <c r="N178" s="26">
        <v>270828</v>
      </c>
      <c r="O178" s="26">
        <v>1</v>
      </c>
      <c r="P178" s="26">
        <v>111</v>
      </c>
      <c r="Q178" s="26">
        <v>23.4</v>
      </c>
      <c r="R178" s="26">
        <v>3.94</v>
      </c>
      <c r="S178" s="26">
        <v>3.26</v>
      </c>
      <c r="T178" s="26">
        <v>8.76</v>
      </c>
      <c r="U178" s="33">
        <v>11.6</v>
      </c>
      <c r="V178" s="26"/>
      <c r="W178" s="26"/>
      <c r="X178" s="26"/>
      <c r="Y178" s="26"/>
      <c r="Z178" s="26"/>
      <c r="AA178" s="26"/>
      <c r="AB178" s="26"/>
      <c r="AC178" s="26"/>
      <c r="AD178" s="26"/>
      <c r="AF178" s="37">
        <v>174</v>
      </c>
      <c r="AG178"/>
      <c r="AH178"/>
      <c r="AI178"/>
      <c r="AJ178"/>
      <c r="AK178"/>
      <c r="AL178"/>
      <c r="AM178"/>
      <c r="AN178"/>
      <c r="AO178"/>
      <c r="AP178" s="24">
        <v>2018.01</v>
      </c>
      <c r="AQ178">
        <v>291012</v>
      </c>
      <c r="AR178">
        <v>3</v>
      </c>
      <c r="AS178">
        <v>101</v>
      </c>
      <c r="AT178">
        <v>54.599999999999994</v>
      </c>
      <c r="AU178">
        <v>3.4</v>
      </c>
      <c r="AV178">
        <v>2.83</v>
      </c>
      <c r="AW178">
        <v>8.11</v>
      </c>
      <c r="AX178">
        <v>5.0999999999999996</v>
      </c>
    </row>
    <row r="179" spans="12:50" x14ac:dyDescent="0.15">
      <c r="L179" s="37">
        <v>175</v>
      </c>
      <c r="M179">
        <v>2015.12</v>
      </c>
      <c r="N179" s="26">
        <v>270821</v>
      </c>
      <c r="O179" s="26">
        <v>1</v>
      </c>
      <c r="P179" s="26">
        <v>118</v>
      </c>
      <c r="Q179" s="26">
        <v>32.6</v>
      </c>
      <c r="R179" s="26">
        <v>3.13</v>
      </c>
      <c r="S179" s="26">
        <v>2.78</v>
      </c>
      <c r="T179" s="26">
        <v>8.4499999999999993</v>
      </c>
      <c r="U179" s="33">
        <v>12.3</v>
      </c>
      <c r="V179" s="26"/>
      <c r="W179" s="26"/>
      <c r="X179" s="26"/>
      <c r="Y179" s="26"/>
      <c r="Z179" s="26"/>
      <c r="AA179" s="26"/>
      <c r="AB179" s="26"/>
      <c r="AC179" s="26"/>
      <c r="AD179" s="26"/>
      <c r="AF179" s="37">
        <v>175</v>
      </c>
      <c r="AG179"/>
      <c r="AH179"/>
      <c r="AI179"/>
      <c r="AJ179"/>
      <c r="AK179"/>
      <c r="AL179"/>
      <c r="AM179"/>
      <c r="AN179"/>
      <c r="AO179"/>
      <c r="AP179" s="24">
        <v>2018.01</v>
      </c>
      <c r="AQ179">
        <v>291011</v>
      </c>
      <c r="AR179">
        <v>3</v>
      </c>
      <c r="AS179">
        <v>102</v>
      </c>
      <c r="AT179">
        <v>18.2</v>
      </c>
      <c r="AU179">
        <v>3.86</v>
      </c>
      <c r="AV179">
        <v>3.29</v>
      </c>
      <c r="AW179">
        <v>8.7200000000000006</v>
      </c>
      <c r="AX179">
        <v>8.6999999999999993</v>
      </c>
    </row>
    <row r="180" spans="12:50" x14ac:dyDescent="0.15">
      <c r="L180" s="37">
        <v>176</v>
      </c>
      <c r="M180">
        <v>2015.12</v>
      </c>
      <c r="N180" s="26">
        <v>270804</v>
      </c>
      <c r="O180" s="26">
        <v>1</v>
      </c>
      <c r="P180" s="26">
        <v>135</v>
      </c>
      <c r="Q180" s="26">
        <v>31.6</v>
      </c>
      <c r="R180" s="26">
        <v>3.84</v>
      </c>
      <c r="S180" s="26">
        <v>3.46</v>
      </c>
      <c r="T180" s="26">
        <v>9.26</v>
      </c>
      <c r="U180" s="33">
        <v>9.6999999999999993</v>
      </c>
      <c r="V180" s="26"/>
      <c r="W180" s="26"/>
      <c r="X180" s="26"/>
      <c r="Y180" s="26"/>
      <c r="Z180" s="26"/>
      <c r="AA180" s="26"/>
      <c r="AB180" s="26"/>
      <c r="AC180" s="26"/>
      <c r="AD180" s="26"/>
      <c r="AF180" s="37">
        <v>176</v>
      </c>
      <c r="AG180"/>
      <c r="AH180"/>
      <c r="AI180"/>
      <c r="AJ180"/>
      <c r="AK180"/>
      <c r="AL180"/>
      <c r="AM180"/>
      <c r="AN180"/>
      <c r="AO180"/>
      <c r="AP180" s="24">
        <v>2018.01</v>
      </c>
      <c r="AQ180">
        <v>291010</v>
      </c>
      <c r="AR180">
        <v>3</v>
      </c>
      <c r="AS180">
        <v>103</v>
      </c>
      <c r="AT180">
        <v>38.900000000000006</v>
      </c>
      <c r="AU180">
        <v>4.67</v>
      </c>
      <c r="AV180">
        <v>3.43</v>
      </c>
      <c r="AW180">
        <v>8.99</v>
      </c>
      <c r="AX180">
        <v>7.9</v>
      </c>
    </row>
    <row r="181" spans="12:50" x14ac:dyDescent="0.15">
      <c r="L181" s="37">
        <v>177</v>
      </c>
      <c r="M181">
        <v>2015.12</v>
      </c>
      <c r="N181" s="26">
        <v>270730</v>
      </c>
      <c r="O181" s="26">
        <v>1</v>
      </c>
      <c r="P181" s="26">
        <v>140</v>
      </c>
      <c r="Q181" s="26">
        <v>38</v>
      </c>
      <c r="R181" s="26">
        <v>3.45</v>
      </c>
      <c r="S181" s="26">
        <v>2.94</v>
      </c>
      <c r="T181" s="26">
        <v>8.4700000000000006</v>
      </c>
      <c r="U181" s="33">
        <v>10.8</v>
      </c>
      <c r="V181" s="26"/>
      <c r="W181" s="26"/>
      <c r="X181" s="26"/>
      <c r="Y181" s="26"/>
      <c r="Z181" s="26"/>
      <c r="AA181" s="26"/>
      <c r="AB181" s="26"/>
      <c r="AC181" s="26"/>
      <c r="AD181" s="26"/>
      <c r="AF181" s="37">
        <v>177</v>
      </c>
      <c r="AG181"/>
      <c r="AH181"/>
      <c r="AI181"/>
      <c r="AJ181"/>
      <c r="AK181"/>
      <c r="AL181"/>
      <c r="AM181"/>
      <c r="AN181"/>
      <c r="AO181"/>
      <c r="AP181" s="24">
        <v>2018.01</v>
      </c>
      <c r="AQ181">
        <v>290927</v>
      </c>
      <c r="AR181">
        <v>3</v>
      </c>
      <c r="AS181">
        <v>116</v>
      </c>
      <c r="AT181">
        <v>40.700000000000003</v>
      </c>
      <c r="AU181">
        <v>3.86</v>
      </c>
      <c r="AV181">
        <v>3.39</v>
      </c>
      <c r="AW181">
        <v>8.6199999999999992</v>
      </c>
      <c r="AX181">
        <v>5.7</v>
      </c>
    </row>
    <row r="182" spans="12:50" x14ac:dyDescent="0.15">
      <c r="L182" s="37">
        <v>178</v>
      </c>
      <c r="M182">
        <v>2015.12</v>
      </c>
      <c r="N182" s="26">
        <v>270729</v>
      </c>
      <c r="O182" s="26">
        <v>1</v>
      </c>
      <c r="P182" s="26">
        <v>141</v>
      </c>
      <c r="Q182" s="26">
        <v>33.4</v>
      </c>
      <c r="R182" s="26">
        <v>3.73</v>
      </c>
      <c r="S182" s="26">
        <v>3.05</v>
      </c>
      <c r="T182" s="26">
        <v>8.77</v>
      </c>
      <c r="U182" s="33">
        <v>10.9</v>
      </c>
      <c r="V182" s="26"/>
      <c r="W182" s="26"/>
      <c r="X182" s="26"/>
      <c r="Y182" s="26"/>
      <c r="Z182" s="26"/>
      <c r="AA182" s="26"/>
      <c r="AB182" s="26"/>
      <c r="AC182" s="26"/>
      <c r="AD182" s="26"/>
      <c r="AF182" s="37">
        <v>178</v>
      </c>
      <c r="AG182"/>
      <c r="AH182"/>
      <c r="AI182"/>
      <c r="AJ182"/>
      <c r="AK182"/>
      <c r="AL182"/>
      <c r="AM182"/>
      <c r="AN182"/>
      <c r="AO182"/>
      <c r="AP182" s="24">
        <v>2018.01</v>
      </c>
      <c r="AQ182">
        <v>290826</v>
      </c>
      <c r="AR182">
        <v>3</v>
      </c>
      <c r="AS182">
        <v>148</v>
      </c>
      <c r="AT182">
        <v>36.200000000000003</v>
      </c>
      <c r="AU182">
        <v>4.1500000000000004</v>
      </c>
      <c r="AV182">
        <v>3.63</v>
      </c>
      <c r="AW182">
        <v>9.15</v>
      </c>
      <c r="AX182">
        <v>9.5</v>
      </c>
    </row>
    <row r="183" spans="12:50" x14ac:dyDescent="0.15">
      <c r="L183" s="37">
        <v>179</v>
      </c>
      <c r="M183">
        <v>2015.12</v>
      </c>
      <c r="N183" s="26">
        <v>270728</v>
      </c>
      <c r="O183" s="26">
        <v>1</v>
      </c>
      <c r="P183" s="26">
        <v>142</v>
      </c>
      <c r="Q183" s="26">
        <v>36.700000000000003</v>
      </c>
      <c r="R183" s="26">
        <v>3.45</v>
      </c>
      <c r="S183" s="26">
        <v>3.01</v>
      </c>
      <c r="T183" s="26">
        <v>8.76</v>
      </c>
      <c r="U183" s="33">
        <v>10.7</v>
      </c>
      <c r="V183" s="26"/>
      <c r="W183" s="26"/>
      <c r="X183" s="26"/>
      <c r="Y183" s="26"/>
      <c r="Z183" s="26"/>
      <c r="AA183" s="26"/>
      <c r="AB183" s="26"/>
      <c r="AC183" s="26"/>
      <c r="AD183" s="26"/>
      <c r="AF183" s="37">
        <v>179</v>
      </c>
      <c r="AG183"/>
      <c r="AH183"/>
      <c r="AI183"/>
      <c r="AJ183"/>
      <c r="AK183"/>
      <c r="AL183"/>
      <c r="AM183"/>
      <c r="AN183"/>
      <c r="AO183"/>
      <c r="AP183" s="24">
        <v>2018.01</v>
      </c>
      <c r="AQ183">
        <v>290824</v>
      </c>
      <c r="AR183">
        <v>3</v>
      </c>
      <c r="AS183">
        <v>150</v>
      </c>
      <c r="AT183">
        <v>23</v>
      </c>
      <c r="AU183">
        <v>4.1900000000000004</v>
      </c>
      <c r="AV183">
        <v>3.08</v>
      </c>
      <c r="AW183">
        <v>8.4499999999999993</v>
      </c>
      <c r="AX183">
        <v>5.7</v>
      </c>
    </row>
    <row r="184" spans="12:50" x14ac:dyDescent="0.15">
      <c r="L184" s="37">
        <v>180</v>
      </c>
      <c r="M184">
        <v>2015.12</v>
      </c>
      <c r="N184" s="26">
        <v>270728</v>
      </c>
      <c r="O184" s="26">
        <v>1</v>
      </c>
      <c r="P184" s="26">
        <v>142</v>
      </c>
      <c r="Q184" s="26">
        <v>35.4</v>
      </c>
      <c r="R184" s="26">
        <v>3.38</v>
      </c>
      <c r="S184" s="26">
        <v>2.72</v>
      </c>
      <c r="T184" s="26">
        <v>8.5299999999999994</v>
      </c>
      <c r="U184" s="33">
        <v>12.7</v>
      </c>
      <c r="V184" s="26"/>
      <c r="W184" s="26"/>
      <c r="X184" s="26"/>
      <c r="Y184" s="26"/>
      <c r="Z184" s="26"/>
      <c r="AA184" s="26"/>
      <c r="AB184" s="26"/>
      <c r="AC184" s="26"/>
      <c r="AD184" s="26"/>
      <c r="AF184" s="37">
        <v>180</v>
      </c>
      <c r="AG184"/>
      <c r="AH184"/>
      <c r="AI184"/>
      <c r="AJ184"/>
      <c r="AK184"/>
      <c r="AL184"/>
      <c r="AM184"/>
      <c r="AN184"/>
      <c r="AO184"/>
      <c r="AP184" s="24">
        <v>2018.01</v>
      </c>
      <c r="AQ184">
        <v>290819</v>
      </c>
      <c r="AR184">
        <v>3</v>
      </c>
      <c r="AS184">
        <v>155</v>
      </c>
      <c r="AT184">
        <v>43.8</v>
      </c>
      <c r="AU184">
        <v>3.01</v>
      </c>
      <c r="AV184">
        <v>3.27</v>
      </c>
      <c r="AW184">
        <v>8.8000000000000007</v>
      </c>
      <c r="AX184">
        <v>6.8</v>
      </c>
    </row>
    <row r="185" spans="12:50" x14ac:dyDescent="0.15">
      <c r="L185" s="37">
        <v>181</v>
      </c>
      <c r="M185">
        <v>2015.12</v>
      </c>
      <c r="N185" s="26">
        <v>270717</v>
      </c>
      <c r="O185" s="26">
        <v>1</v>
      </c>
      <c r="P185" s="26">
        <v>153</v>
      </c>
      <c r="Q185" s="26">
        <v>25.8</v>
      </c>
      <c r="R185" s="26">
        <v>3.67</v>
      </c>
      <c r="S185" s="26">
        <v>2.96</v>
      </c>
      <c r="T185" s="26">
        <v>8.66</v>
      </c>
      <c r="U185" s="33">
        <v>9.3000000000000007</v>
      </c>
      <c r="V185" s="26"/>
      <c r="W185" s="26"/>
      <c r="X185" s="26"/>
      <c r="Y185" s="26"/>
      <c r="Z185" s="26"/>
      <c r="AA185" s="26"/>
      <c r="AB185" s="26"/>
      <c r="AC185" s="26"/>
      <c r="AD185" s="26"/>
      <c r="AF185" s="37">
        <v>181</v>
      </c>
      <c r="AG185"/>
      <c r="AH185"/>
      <c r="AI185"/>
      <c r="AJ185"/>
      <c r="AK185"/>
      <c r="AL185"/>
      <c r="AM185"/>
      <c r="AN185"/>
      <c r="AO185"/>
      <c r="AP185" s="24">
        <v>2018.01</v>
      </c>
      <c r="AQ185">
        <v>290506</v>
      </c>
      <c r="AR185">
        <v>3</v>
      </c>
      <c r="AS185">
        <v>260</v>
      </c>
      <c r="AT185">
        <v>39.5</v>
      </c>
      <c r="AU185">
        <v>3.04</v>
      </c>
      <c r="AV185">
        <v>2.93</v>
      </c>
      <c r="AW185">
        <v>8.33</v>
      </c>
      <c r="AX185">
        <v>9.4</v>
      </c>
    </row>
    <row r="186" spans="12:50" x14ac:dyDescent="0.15">
      <c r="L186" s="37">
        <v>182</v>
      </c>
      <c r="M186">
        <v>2015.12</v>
      </c>
      <c r="N186" s="26">
        <v>270717</v>
      </c>
      <c r="O186" s="26">
        <v>1</v>
      </c>
      <c r="P186" s="26">
        <v>153</v>
      </c>
      <c r="Q186" s="26">
        <v>35.799999999999997</v>
      </c>
      <c r="R186" s="26">
        <v>3.25</v>
      </c>
      <c r="S186" s="26">
        <v>2.88</v>
      </c>
      <c r="T186" s="26">
        <v>8.5299999999999994</v>
      </c>
      <c r="U186" s="33">
        <v>12.3</v>
      </c>
      <c r="V186" s="26"/>
      <c r="W186" s="26"/>
      <c r="X186" s="26"/>
      <c r="Y186" s="26"/>
      <c r="Z186" s="26"/>
      <c r="AA186" s="26"/>
      <c r="AB186" s="26"/>
      <c r="AC186" s="26"/>
      <c r="AD186" s="26"/>
      <c r="AF186" s="37">
        <v>182</v>
      </c>
      <c r="AG186"/>
      <c r="AH186"/>
      <c r="AI186"/>
      <c r="AJ186"/>
      <c r="AK186"/>
      <c r="AL186"/>
      <c r="AM186"/>
      <c r="AN186"/>
      <c r="AO186"/>
      <c r="AP186" s="24">
        <v>2018.02</v>
      </c>
      <c r="AQ186">
        <v>291011</v>
      </c>
      <c r="AR186">
        <v>3</v>
      </c>
      <c r="AS186">
        <v>129</v>
      </c>
      <c r="AT186">
        <v>29.2</v>
      </c>
      <c r="AU186">
        <v>3.98</v>
      </c>
      <c r="AV186">
        <v>3.43</v>
      </c>
      <c r="AW186">
        <v>8.81</v>
      </c>
      <c r="AX186">
        <v>7.7</v>
      </c>
    </row>
    <row r="187" spans="12:50" x14ac:dyDescent="0.15">
      <c r="L187" s="37">
        <v>183</v>
      </c>
      <c r="M187">
        <v>2015.12</v>
      </c>
      <c r="N187" s="26">
        <v>270713</v>
      </c>
      <c r="O187" s="26">
        <v>1</v>
      </c>
      <c r="P187" s="26">
        <v>157</v>
      </c>
      <c r="Q187" s="26">
        <v>21.9</v>
      </c>
      <c r="R187" s="26">
        <v>3.78</v>
      </c>
      <c r="S187" s="26">
        <v>3.55</v>
      </c>
      <c r="T187" s="26">
        <v>9.2799999999999994</v>
      </c>
      <c r="U187" s="33">
        <v>11.2</v>
      </c>
      <c r="V187" s="26"/>
      <c r="W187" s="26"/>
      <c r="X187" s="26"/>
      <c r="Y187" s="26"/>
      <c r="Z187" s="26"/>
      <c r="AA187" s="26"/>
      <c r="AB187" s="26"/>
      <c r="AC187" s="26"/>
      <c r="AD187" s="26"/>
      <c r="AF187" s="37">
        <v>183</v>
      </c>
      <c r="AG187"/>
      <c r="AH187"/>
      <c r="AI187"/>
      <c r="AJ187"/>
      <c r="AK187"/>
      <c r="AL187"/>
      <c r="AM187"/>
      <c r="AN187"/>
      <c r="AO187"/>
      <c r="AP187" s="24">
        <v>2018.02</v>
      </c>
      <c r="AQ187">
        <v>291010</v>
      </c>
      <c r="AR187">
        <v>3</v>
      </c>
      <c r="AS187">
        <v>130</v>
      </c>
      <c r="AT187">
        <v>40.799999999999997</v>
      </c>
      <c r="AU187">
        <v>4.1100000000000003</v>
      </c>
      <c r="AV187">
        <v>3.54</v>
      </c>
      <c r="AW187">
        <v>9.08</v>
      </c>
      <c r="AX187">
        <v>5.8</v>
      </c>
    </row>
    <row r="188" spans="12:50" x14ac:dyDescent="0.15">
      <c r="L188" s="37">
        <v>184</v>
      </c>
      <c r="M188">
        <v>2015.12</v>
      </c>
      <c r="N188" s="26">
        <v>270712</v>
      </c>
      <c r="O188" s="26">
        <v>1</v>
      </c>
      <c r="P188" s="26">
        <v>158</v>
      </c>
      <c r="Q188" s="26">
        <v>33</v>
      </c>
      <c r="R188" s="26">
        <v>3.91</v>
      </c>
      <c r="S188" s="26">
        <v>3.56</v>
      </c>
      <c r="T188" s="26">
        <v>9.08</v>
      </c>
      <c r="U188" s="33">
        <v>8.5</v>
      </c>
      <c r="V188" s="26"/>
      <c r="W188" s="26"/>
      <c r="X188" s="26"/>
      <c r="Y188" s="26"/>
      <c r="Z188" s="26"/>
      <c r="AA188" s="26"/>
      <c r="AB188" s="26"/>
      <c r="AC188" s="26"/>
      <c r="AD188" s="26"/>
      <c r="AF188" s="37">
        <v>184</v>
      </c>
      <c r="AG188"/>
      <c r="AH188"/>
      <c r="AI188"/>
      <c r="AJ188"/>
      <c r="AK188"/>
      <c r="AL188"/>
      <c r="AM188"/>
      <c r="AN188"/>
      <c r="AO188"/>
      <c r="AP188" s="24">
        <v>2018.02</v>
      </c>
      <c r="AQ188">
        <v>290927</v>
      </c>
      <c r="AR188">
        <v>3</v>
      </c>
      <c r="AS188">
        <v>143</v>
      </c>
      <c r="AT188">
        <v>44</v>
      </c>
      <c r="AU188">
        <v>4.51</v>
      </c>
      <c r="AV188">
        <v>3.39</v>
      </c>
      <c r="AW188">
        <v>8.81</v>
      </c>
      <c r="AX188">
        <v>8.4</v>
      </c>
    </row>
    <row r="189" spans="12:50" x14ac:dyDescent="0.15">
      <c r="L189" s="37">
        <v>185</v>
      </c>
      <c r="M189">
        <v>2015.12</v>
      </c>
      <c r="N189" s="26">
        <v>270707</v>
      </c>
      <c r="O189" s="26">
        <v>1</v>
      </c>
      <c r="P189" s="26">
        <v>163</v>
      </c>
      <c r="Q189" s="26">
        <v>26.4</v>
      </c>
      <c r="R189" s="26">
        <v>4.5999999999999996</v>
      </c>
      <c r="S189" s="26">
        <v>4.0999999999999996</v>
      </c>
      <c r="T189" s="26">
        <v>9.7899999999999991</v>
      </c>
      <c r="U189" s="33">
        <v>9.1999999999999993</v>
      </c>
      <c r="V189" s="26"/>
      <c r="W189" s="26"/>
      <c r="X189" s="26"/>
      <c r="Y189" s="26"/>
      <c r="Z189" s="26"/>
      <c r="AA189" s="26"/>
      <c r="AB189" s="26"/>
      <c r="AC189" s="26"/>
      <c r="AD189" s="26"/>
      <c r="AF189" s="37">
        <v>185</v>
      </c>
      <c r="AG189"/>
      <c r="AH189"/>
      <c r="AI189"/>
      <c r="AJ189"/>
      <c r="AK189"/>
      <c r="AL189"/>
      <c r="AM189"/>
      <c r="AN189"/>
      <c r="AO189"/>
      <c r="AP189" s="24">
        <v>2018.02</v>
      </c>
      <c r="AQ189">
        <v>290922</v>
      </c>
      <c r="AR189">
        <v>3</v>
      </c>
      <c r="AS189">
        <v>148</v>
      </c>
      <c r="AT189">
        <v>27.8</v>
      </c>
      <c r="AU189">
        <v>4.42</v>
      </c>
      <c r="AV189">
        <v>2.93</v>
      </c>
      <c r="AW189">
        <v>8.4499999999999993</v>
      </c>
      <c r="AX189">
        <v>4.9000000000000004</v>
      </c>
    </row>
    <row r="190" spans="12:50" x14ac:dyDescent="0.15">
      <c r="L190" s="37">
        <v>186</v>
      </c>
      <c r="M190">
        <v>2015.12</v>
      </c>
      <c r="N190" s="26">
        <v>270705</v>
      </c>
      <c r="O190" s="26">
        <v>1</v>
      </c>
      <c r="P190" s="26">
        <v>165</v>
      </c>
      <c r="Q190" s="26">
        <v>24.6</v>
      </c>
      <c r="R190" s="26">
        <v>3.19</v>
      </c>
      <c r="S190" s="26">
        <v>2.93</v>
      </c>
      <c r="T190" s="26">
        <v>8.11</v>
      </c>
      <c r="U190" s="33">
        <v>9.1</v>
      </c>
      <c r="V190" s="26"/>
      <c r="W190" s="26"/>
      <c r="X190" s="26"/>
      <c r="Y190" s="26"/>
      <c r="Z190" s="26"/>
      <c r="AA190" s="26"/>
      <c r="AB190" s="26"/>
      <c r="AC190" s="26"/>
      <c r="AD190" s="26"/>
      <c r="AF190" s="37">
        <v>186</v>
      </c>
      <c r="AG190"/>
      <c r="AH190"/>
      <c r="AI190"/>
      <c r="AJ190"/>
      <c r="AK190"/>
      <c r="AL190"/>
      <c r="AM190"/>
      <c r="AN190"/>
      <c r="AO190"/>
      <c r="AP190" s="24">
        <v>2018.02</v>
      </c>
      <c r="AQ190">
        <v>290826</v>
      </c>
      <c r="AR190">
        <v>3</v>
      </c>
      <c r="AS190">
        <v>175</v>
      </c>
      <c r="AT190">
        <v>37</v>
      </c>
      <c r="AU190">
        <v>4.1399999999999997</v>
      </c>
      <c r="AV190">
        <v>3.8</v>
      </c>
      <c r="AW190">
        <v>9.24</v>
      </c>
      <c r="AX190">
        <v>9.1999999999999993</v>
      </c>
    </row>
    <row r="191" spans="12:50" x14ac:dyDescent="0.15">
      <c r="L191" s="37">
        <v>187</v>
      </c>
      <c r="M191">
        <v>2015.12</v>
      </c>
      <c r="N191" s="26">
        <v>270705</v>
      </c>
      <c r="O191" s="26">
        <v>1</v>
      </c>
      <c r="P191" s="26">
        <v>165</v>
      </c>
      <c r="Q191" s="26">
        <v>32.9</v>
      </c>
      <c r="R191" s="26">
        <v>3.95</v>
      </c>
      <c r="S191" s="26">
        <v>3.55</v>
      </c>
      <c r="T191" s="26">
        <v>9.0299999999999994</v>
      </c>
      <c r="U191" s="33">
        <v>9.1</v>
      </c>
      <c r="V191" s="26"/>
      <c r="W191" s="26"/>
      <c r="X191" s="26"/>
      <c r="Y191" s="26"/>
      <c r="Z191" s="26"/>
      <c r="AA191" s="26"/>
      <c r="AB191" s="26"/>
      <c r="AC191" s="26"/>
      <c r="AD191" s="26"/>
      <c r="AF191" s="37">
        <v>187</v>
      </c>
      <c r="AG191"/>
      <c r="AH191"/>
      <c r="AI191"/>
      <c r="AJ191"/>
      <c r="AK191"/>
      <c r="AL191"/>
      <c r="AM191"/>
      <c r="AN191"/>
      <c r="AO191"/>
      <c r="AP191" s="24">
        <v>2018.02</v>
      </c>
      <c r="AQ191">
        <v>290819</v>
      </c>
      <c r="AR191">
        <v>3</v>
      </c>
      <c r="AS191">
        <v>182</v>
      </c>
      <c r="AT191">
        <v>43.8</v>
      </c>
      <c r="AU191">
        <v>2.2999999999999998</v>
      </c>
      <c r="AV191">
        <v>3.4</v>
      </c>
      <c r="AW191">
        <v>8.9600000000000009</v>
      </c>
      <c r="AX191">
        <v>6.9</v>
      </c>
    </row>
    <row r="192" spans="12:50" x14ac:dyDescent="0.15">
      <c r="L192" s="37">
        <v>188</v>
      </c>
      <c r="M192">
        <v>2015.12</v>
      </c>
      <c r="N192" s="26">
        <v>270703</v>
      </c>
      <c r="O192" s="26">
        <v>1</v>
      </c>
      <c r="P192" s="26">
        <v>167</v>
      </c>
      <c r="Q192" s="26">
        <v>21.3</v>
      </c>
      <c r="R192" s="26">
        <v>3.96</v>
      </c>
      <c r="S192" s="26">
        <v>3.14</v>
      </c>
      <c r="T192" s="26">
        <v>8.7899999999999991</v>
      </c>
      <c r="U192" s="33">
        <v>11.7</v>
      </c>
      <c r="V192" s="26"/>
      <c r="W192" s="26"/>
      <c r="X192" s="26"/>
      <c r="Y192" s="26"/>
      <c r="Z192" s="26"/>
      <c r="AA192" s="26"/>
      <c r="AB192" s="26"/>
      <c r="AC192" s="26"/>
      <c r="AD192" s="26"/>
      <c r="AF192" s="37">
        <v>188</v>
      </c>
      <c r="AG192"/>
      <c r="AH192"/>
      <c r="AI192"/>
      <c r="AJ192"/>
      <c r="AK192"/>
      <c r="AL192"/>
      <c r="AM192"/>
      <c r="AN192"/>
      <c r="AO192"/>
      <c r="AP192" s="24">
        <v>2018.02</v>
      </c>
      <c r="AQ192">
        <v>290621</v>
      </c>
      <c r="AR192">
        <v>3</v>
      </c>
      <c r="AS192">
        <v>241</v>
      </c>
      <c r="AT192">
        <v>27.2</v>
      </c>
      <c r="AU192">
        <v>3.9</v>
      </c>
      <c r="AV192">
        <v>3.13</v>
      </c>
      <c r="AW192">
        <v>8.1999999999999993</v>
      </c>
      <c r="AX192">
        <v>8.3000000000000007</v>
      </c>
    </row>
    <row r="193" spans="12:50" x14ac:dyDescent="0.15">
      <c r="L193" s="37">
        <v>189</v>
      </c>
      <c r="M193">
        <v>2015.12</v>
      </c>
      <c r="N193" s="26">
        <v>270702</v>
      </c>
      <c r="O193" s="26">
        <v>1</v>
      </c>
      <c r="P193" s="26">
        <v>168</v>
      </c>
      <c r="Q193" s="26">
        <v>24.8</v>
      </c>
      <c r="R193" s="26">
        <v>4.1900000000000004</v>
      </c>
      <c r="S193" s="26">
        <v>3.26</v>
      </c>
      <c r="T193" s="26">
        <v>9.15</v>
      </c>
      <c r="U193" s="33">
        <v>12.8</v>
      </c>
      <c r="V193" s="26"/>
      <c r="W193" s="26"/>
      <c r="X193" s="26"/>
      <c r="Y193" s="26"/>
      <c r="Z193" s="26"/>
      <c r="AA193" s="26"/>
      <c r="AB193" s="26"/>
      <c r="AC193" s="26"/>
      <c r="AD193" s="26"/>
      <c r="AF193" s="37">
        <v>189</v>
      </c>
      <c r="AG193"/>
      <c r="AH193"/>
      <c r="AI193"/>
      <c r="AJ193"/>
      <c r="AK193"/>
      <c r="AL193"/>
      <c r="AM193"/>
      <c r="AN193"/>
      <c r="AO193"/>
      <c r="AP193" s="24">
        <v>2018.02</v>
      </c>
      <c r="AQ193">
        <v>290506</v>
      </c>
      <c r="AR193">
        <v>3</v>
      </c>
      <c r="AS193">
        <v>287</v>
      </c>
      <c r="AT193">
        <v>40.299999999999997</v>
      </c>
      <c r="AU193">
        <v>3.02</v>
      </c>
      <c r="AV193">
        <v>2.94</v>
      </c>
      <c r="AW193">
        <v>8.2100000000000009</v>
      </c>
      <c r="AX193">
        <v>7.5</v>
      </c>
    </row>
    <row r="194" spans="12:50" x14ac:dyDescent="0.15">
      <c r="L194" s="37">
        <v>190</v>
      </c>
      <c r="M194">
        <v>2015.12</v>
      </c>
      <c r="N194" s="26">
        <v>270628</v>
      </c>
      <c r="O194" s="26">
        <v>1</v>
      </c>
      <c r="P194" s="26">
        <v>172</v>
      </c>
      <c r="Q194" s="26">
        <v>25.5</v>
      </c>
      <c r="R194" s="26">
        <v>4.3</v>
      </c>
      <c r="S194" s="26">
        <v>3.63</v>
      </c>
      <c r="T194" s="26">
        <v>9.2200000000000006</v>
      </c>
      <c r="U194" s="33">
        <v>9</v>
      </c>
      <c r="V194" s="26"/>
      <c r="W194" s="26"/>
      <c r="X194" s="26"/>
      <c r="Y194" s="26"/>
      <c r="Z194" s="26"/>
      <c r="AA194" s="26"/>
      <c r="AB194" s="26"/>
      <c r="AC194" s="26"/>
      <c r="AD194" s="26"/>
      <c r="AF194" s="37">
        <v>190</v>
      </c>
      <c r="AG194"/>
      <c r="AH194"/>
      <c r="AI194"/>
      <c r="AJ194"/>
      <c r="AK194"/>
      <c r="AL194"/>
      <c r="AM194"/>
      <c r="AN194"/>
      <c r="AO194"/>
      <c r="AP194" s="24">
        <v>2018.03</v>
      </c>
      <c r="AQ194">
        <v>291202</v>
      </c>
      <c r="AR194">
        <v>3</v>
      </c>
      <c r="AS194">
        <v>106</v>
      </c>
      <c r="AT194">
        <v>23.6</v>
      </c>
      <c r="AU194">
        <v>3.67</v>
      </c>
      <c r="AV194">
        <v>3.25</v>
      </c>
      <c r="AW194">
        <v>8.49</v>
      </c>
      <c r="AX194">
        <v>8.1999999999999993</v>
      </c>
    </row>
    <row r="195" spans="12:50" x14ac:dyDescent="0.15">
      <c r="L195" s="37">
        <v>191</v>
      </c>
      <c r="M195">
        <v>2015.12</v>
      </c>
      <c r="N195" s="26">
        <v>270624</v>
      </c>
      <c r="O195" s="26">
        <v>1</v>
      </c>
      <c r="P195" s="26">
        <v>176</v>
      </c>
      <c r="Q195" s="26">
        <v>30.9</v>
      </c>
      <c r="R195" s="26">
        <v>3.84</v>
      </c>
      <c r="S195" s="26">
        <v>3.28</v>
      </c>
      <c r="T195" s="26">
        <v>8.98</v>
      </c>
      <c r="U195" s="33">
        <v>9.6</v>
      </c>
      <c r="V195" s="26"/>
      <c r="W195" s="26"/>
      <c r="X195" s="26"/>
      <c r="Y195" s="26"/>
      <c r="Z195" s="26"/>
      <c r="AA195" s="26"/>
      <c r="AB195" s="26"/>
      <c r="AC195" s="26"/>
      <c r="AD195" s="26"/>
      <c r="AF195" s="37">
        <v>191</v>
      </c>
      <c r="AG195"/>
      <c r="AH195"/>
      <c r="AI195"/>
      <c r="AJ195"/>
      <c r="AK195"/>
      <c r="AL195"/>
      <c r="AM195"/>
      <c r="AN195"/>
      <c r="AO195"/>
      <c r="AP195" s="24">
        <v>2018.03</v>
      </c>
      <c r="AQ195">
        <v>291011</v>
      </c>
      <c r="AR195">
        <v>3</v>
      </c>
      <c r="AS195">
        <v>158</v>
      </c>
      <c r="AT195">
        <v>31.5</v>
      </c>
      <c r="AU195">
        <v>3.98</v>
      </c>
      <c r="AV195">
        <v>3.48</v>
      </c>
      <c r="AW195">
        <v>9.0399999999999991</v>
      </c>
      <c r="AX195">
        <v>7.3</v>
      </c>
    </row>
    <row r="196" spans="12:50" x14ac:dyDescent="0.15">
      <c r="L196" s="37">
        <v>192</v>
      </c>
      <c r="M196">
        <v>2015.12</v>
      </c>
      <c r="N196" s="26">
        <v>270624</v>
      </c>
      <c r="O196" s="26">
        <v>1</v>
      </c>
      <c r="P196" s="26">
        <v>176</v>
      </c>
      <c r="Q196" s="26">
        <v>29.8</v>
      </c>
      <c r="R196" s="26">
        <v>3.52</v>
      </c>
      <c r="S196" s="26">
        <v>3.2</v>
      </c>
      <c r="T196" s="26">
        <v>8.8800000000000008</v>
      </c>
      <c r="U196" s="33">
        <v>11.4</v>
      </c>
      <c r="V196" s="26"/>
      <c r="W196" s="26"/>
      <c r="X196" s="26"/>
      <c r="Y196" s="26"/>
      <c r="Z196" s="26"/>
      <c r="AA196" s="26"/>
      <c r="AB196" s="26"/>
      <c r="AC196" s="26"/>
      <c r="AD196" s="26"/>
      <c r="AF196" s="37">
        <v>192</v>
      </c>
      <c r="AG196"/>
      <c r="AH196"/>
      <c r="AI196"/>
      <c r="AJ196"/>
      <c r="AK196"/>
      <c r="AL196"/>
      <c r="AM196"/>
      <c r="AN196"/>
      <c r="AO196"/>
      <c r="AP196" s="24">
        <v>2018.03</v>
      </c>
      <c r="AQ196">
        <v>291010</v>
      </c>
      <c r="AR196">
        <v>3</v>
      </c>
      <c r="AS196">
        <v>159</v>
      </c>
      <c r="AT196">
        <v>38.4</v>
      </c>
      <c r="AU196">
        <v>4.1100000000000003</v>
      </c>
      <c r="AV196">
        <v>3.55</v>
      </c>
      <c r="AW196">
        <v>8.98</v>
      </c>
      <c r="AX196">
        <v>6.3</v>
      </c>
    </row>
    <row r="197" spans="12:50" x14ac:dyDescent="0.15">
      <c r="L197" s="37">
        <v>193</v>
      </c>
      <c r="M197">
        <v>2015.12</v>
      </c>
      <c r="N197" s="26">
        <v>270622</v>
      </c>
      <c r="O197" s="26">
        <v>1</v>
      </c>
      <c r="P197" s="26">
        <v>178</v>
      </c>
      <c r="Q197" s="26">
        <v>34.6</v>
      </c>
      <c r="R197" s="26">
        <v>3.68</v>
      </c>
      <c r="S197" s="26">
        <v>3.34</v>
      </c>
      <c r="T197" s="26">
        <v>9.02</v>
      </c>
      <c r="U197" s="33">
        <v>12.9</v>
      </c>
      <c r="V197" s="26"/>
      <c r="W197" s="26"/>
      <c r="X197" s="26"/>
      <c r="Y197" s="26"/>
      <c r="Z197" s="26"/>
      <c r="AA197" s="26"/>
      <c r="AB197" s="26"/>
      <c r="AC197" s="26"/>
      <c r="AD197" s="26"/>
      <c r="AF197" s="37">
        <v>193</v>
      </c>
      <c r="AG197"/>
      <c r="AH197"/>
      <c r="AI197"/>
      <c r="AJ197"/>
      <c r="AK197"/>
      <c r="AL197"/>
      <c r="AM197"/>
      <c r="AN197"/>
      <c r="AO197"/>
      <c r="AP197" s="24">
        <v>2018.03</v>
      </c>
      <c r="AQ197">
        <v>290927</v>
      </c>
      <c r="AR197">
        <v>3</v>
      </c>
      <c r="AS197">
        <v>172</v>
      </c>
      <c r="AT197">
        <v>42.4</v>
      </c>
      <c r="AU197">
        <v>4.51</v>
      </c>
      <c r="AV197">
        <v>3.3</v>
      </c>
      <c r="AW197">
        <v>8.68</v>
      </c>
      <c r="AX197">
        <v>8.5</v>
      </c>
    </row>
    <row r="198" spans="12:50" x14ac:dyDescent="0.15">
      <c r="L198" s="37">
        <v>194</v>
      </c>
      <c r="M198">
        <v>2015.12</v>
      </c>
      <c r="N198" s="26">
        <v>270621</v>
      </c>
      <c r="O198" s="26">
        <v>1</v>
      </c>
      <c r="P198" s="26">
        <v>179</v>
      </c>
      <c r="Q198" s="26">
        <v>25.7</v>
      </c>
      <c r="R198" s="26">
        <v>4.18</v>
      </c>
      <c r="S198" s="26">
        <v>3.36</v>
      </c>
      <c r="T198" s="26">
        <v>9.0500000000000007</v>
      </c>
      <c r="U198" s="33">
        <v>9.6999999999999993</v>
      </c>
      <c r="V198" s="26"/>
      <c r="W198" s="26"/>
      <c r="X198" s="26"/>
      <c r="Y198" s="26"/>
      <c r="Z198" s="26"/>
      <c r="AA198" s="26"/>
      <c r="AB198" s="26"/>
      <c r="AC198" s="26"/>
      <c r="AD198" s="26"/>
      <c r="AF198" s="37">
        <v>194</v>
      </c>
      <c r="AG198"/>
      <c r="AH198"/>
      <c r="AI198"/>
      <c r="AJ198"/>
      <c r="AK198"/>
      <c r="AL198"/>
      <c r="AM198"/>
      <c r="AN198"/>
      <c r="AO198"/>
      <c r="AP198" s="24">
        <v>2018.03</v>
      </c>
      <c r="AQ198">
        <v>290925</v>
      </c>
      <c r="AR198">
        <v>3</v>
      </c>
      <c r="AS198">
        <v>174</v>
      </c>
      <c r="AT198">
        <v>45.2</v>
      </c>
      <c r="AU198">
        <v>3.1</v>
      </c>
      <c r="AV198">
        <v>3.28</v>
      </c>
      <c r="AW198">
        <v>8.6199999999999992</v>
      </c>
      <c r="AX198">
        <v>6.7</v>
      </c>
    </row>
    <row r="199" spans="12:50" x14ac:dyDescent="0.15">
      <c r="L199" s="37">
        <v>195</v>
      </c>
      <c r="M199">
        <v>2015.12</v>
      </c>
      <c r="N199" s="26">
        <v>270616</v>
      </c>
      <c r="O199" s="26">
        <v>1</v>
      </c>
      <c r="P199" s="26">
        <v>184</v>
      </c>
      <c r="Q199" s="26">
        <v>22</v>
      </c>
      <c r="R199" s="26">
        <v>4.34</v>
      </c>
      <c r="S199" s="26">
        <v>3.29</v>
      </c>
      <c r="T199" s="26">
        <v>8.9499999999999993</v>
      </c>
      <c r="U199" s="33">
        <v>9.3000000000000007</v>
      </c>
      <c r="V199" s="26"/>
      <c r="W199" s="26"/>
      <c r="X199" s="26"/>
      <c r="Y199" s="26"/>
      <c r="Z199" s="26"/>
      <c r="AA199" s="26"/>
      <c r="AB199" s="26"/>
      <c r="AC199" s="26"/>
      <c r="AD199" s="26"/>
      <c r="AF199" s="37">
        <v>195</v>
      </c>
      <c r="AG199"/>
      <c r="AH199"/>
      <c r="AI199"/>
      <c r="AJ199"/>
      <c r="AK199"/>
      <c r="AL199"/>
      <c r="AM199"/>
      <c r="AN199"/>
      <c r="AO199"/>
      <c r="AP199" s="24">
        <v>2018.03</v>
      </c>
      <c r="AQ199">
        <v>290828</v>
      </c>
      <c r="AR199">
        <v>3</v>
      </c>
      <c r="AS199">
        <v>202</v>
      </c>
      <c r="AT199">
        <v>42.6</v>
      </c>
      <c r="AU199">
        <v>3.96</v>
      </c>
      <c r="AV199">
        <v>3.34</v>
      </c>
      <c r="AW199">
        <v>8.89</v>
      </c>
      <c r="AX199">
        <v>8.5</v>
      </c>
    </row>
    <row r="200" spans="12:50" x14ac:dyDescent="0.15">
      <c r="L200" s="37">
        <v>196</v>
      </c>
      <c r="M200">
        <v>2015.12</v>
      </c>
      <c r="N200" s="26">
        <v>270614</v>
      </c>
      <c r="O200" s="26">
        <v>1</v>
      </c>
      <c r="P200" s="26">
        <v>186</v>
      </c>
      <c r="Q200" s="26">
        <v>32.299999999999997</v>
      </c>
      <c r="R200" s="26">
        <v>3.58</v>
      </c>
      <c r="S200" s="26">
        <v>3.12</v>
      </c>
      <c r="T200" s="26">
        <v>8.83</v>
      </c>
      <c r="U200" s="33">
        <v>9</v>
      </c>
      <c r="V200" s="26"/>
      <c r="W200" s="26"/>
      <c r="X200" s="26"/>
      <c r="Y200" s="26"/>
      <c r="Z200" s="26"/>
      <c r="AA200" s="26"/>
      <c r="AB200" s="26"/>
      <c r="AC200" s="26"/>
      <c r="AD200" s="26"/>
      <c r="AF200" s="37">
        <v>196</v>
      </c>
      <c r="AG200"/>
      <c r="AH200"/>
      <c r="AI200"/>
      <c r="AJ200"/>
      <c r="AK200"/>
      <c r="AL200"/>
      <c r="AM200"/>
      <c r="AN200"/>
      <c r="AO200"/>
      <c r="AP200" s="24">
        <v>2018.03</v>
      </c>
      <c r="AQ200">
        <v>290826</v>
      </c>
      <c r="AR200">
        <v>3</v>
      </c>
      <c r="AS200">
        <v>204</v>
      </c>
      <c r="AT200">
        <v>35</v>
      </c>
      <c r="AU200">
        <v>4.1399999999999997</v>
      </c>
      <c r="AV200">
        <v>3.76</v>
      </c>
      <c r="AW200">
        <v>9.24</v>
      </c>
      <c r="AX200">
        <v>9.6999999999999993</v>
      </c>
    </row>
    <row r="201" spans="12:50" x14ac:dyDescent="0.15">
      <c r="L201" s="37">
        <v>197</v>
      </c>
      <c r="M201">
        <v>2015.12</v>
      </c>
      <c r="N201" s="26">
        <v>270613</v>
      </c>
      <c r="O201" s="26">
        <v>1</v>
      </c>
      <c r="P201" s="26">
        <v>187</v>
      </c>
      <c r="Q201" s="26">
        <v>23.3</v>
      </c>
      <c r="R201" s="26">
        <v>3.76</v>
      </c>
      <c r="S201" s="26">
        <v>3.29</v>
      </c>
      <c r="T201" s="26">
        <v>8.81</v>
      </c>
      <c r="U201" s="33">
        <v>7.4</v>
      </c>
      <c r="V201" s="26"/>
      <c r="W201" s="26"/>
      <c r="X201" s="26"/>
      <c r="Y201" s="26"/>
      <c r="Z201" s="26"/>
      <c r="AA201" s="26"/>
      <c r="AB201" s="26"/>
      <c r="AC201" s="26"/>
      <c r="AD201" s="26"/>
      <c r="AF201" s="37">
        <v>197</v>
      </c>
      <c r="AG201"/>
      <c r="AH201"/>
      <c r="AI201"/>
      <c r="AJ201"/>
      <c r="AK201"/>
      <c r="AL201"/>
      <c r="AM201"/>
      <c r="AN201"/>
      <c r="AO201"/>
      <c r="AP201" s="24">
        <v>2018.03</v>
      </c>
      <c r="AQ201">
        <v>290819</v>
      </c>
      <c r="AR201">
        <v>3</v>
      </c>
      <c r="AS201">
        <v>211</v>
      </c>
      <c r="AT201">
        <v>49</v>
      </c>
      <c r="AU201">
        <v>2.2999999999999998</v>
      </c>
      <c r="AV201">
        <v>3.24</v>
      </c>
      <c r="AW201">
        <v>8.6999999999999993</v>
      </c>
      <c r="AX201">
        <v>5.7</v>
      </c>
    </row>
    <row r="202" spans="12:50" x14ac:dyDescent="0.15">
      <c r="L202" s="37">
        <v>198</v>
      </c>
      <c r="M202">
        <v>2015.12</v>
      </c>
      <c r="N202" s="26">
        <v>270611</v>
      </c>
      <c r="O202" s="26">
        <v>1</v>
      </c>
      <c r="P202" s="26">
        <v>189</v>
      </c>
      <c r="Q202" s="26">
        <v>29</v>
      </c>
      <c r="R202" s="26">
        <v>3.28</v>
      </c>
      <c r="S202" s="26">
        <v>3.33</v>
      </c>
      <c r="T202" s="26">
        <v>8.7100000000000009</v>
      </c>
      <c r="U202" s="33">
        <v>9.9</v>
      </c>
      <c r="V202" s="26"/>
      <c r="W202" s="26"/>
      <c r="X202" s="26"/>
      <c r="Y202" s="26"/>
      <c r="Z202" s="26"/>
      <c r="AA202" s="26"/>
      <c r="AB202" s="26"/>
      <c r="AC202" s="26"/>
      <c r="AD202" s="26"/>
      <c r="AF202" s="37">
        <v>198</v>
      </c>
      <c r="AG202"/>
      <c r="AH202"/>
      <c r="AI202"/>
      <c r="AJ202"/>
      <c r="AK202"/>
      <c r="AL202"/>
      <c r="AM202"/>
      <c r="AN202"/>
      <c r="AO202"/>
      <c r="AP202" s="24">
        <v>2018.03</v>
      </c>
      <c r="AQ202">
        <v>290621</v>
      </c>
      <c r="AR202">
        <v>3</v>
      </c>
      <c r="AS202">
        <v>270</v>
      </c>
      <c r="AT202">
        <v>24.4</v>
      </c>
      <c r="AU202">
        <v>3.9</v>
      </c>
      <c r="AV202">
        <v>3.08</v>
      </c>
      <c r="AW202">
        <v>8.1300000000000008</v>
      </c>
      <c r="AX202">
        <v>8.5</v>
      </c>
    </row>
    <row r="203" spans="12:50" x14ac:dyDescent="0.15">
      <c r="L203" s="37">
        <v>199</v>
      </c>
      <c r="M203">
        <v>2015.12</v>
      </c>
      <c r="N203" s="26">
        <v>270609</v>
      </c>
      <c r="O203" s="26">
        <v>1</v>
      </c>
      <c r="P203" s="26">
        <v>191</v>
      </c>
      <c r="Q203" s="26">
        <v>22.6</v>
      </c>
      <c r="R203" s="26">
        <v>3.46</v>
      </c>
      <c r="S203" s="26">
        <v>3.44</v>
      </c>
      <c r="T203" s="26">
        <v>8.9</v>
      </c>
      <c r="U203" s="33">
        <v>10.4</v>
      </c>
      <c r="V203" s="26"/>
      <c r="W203" s="26"/>
      <c r="X203" s="26"/>
      <c r="Y203" s="26"/>
      <c r="Z203" s="26"/>
      <c r="AA203" s="26"/>
      <c r="AB203" s="26"/>
      <c r="AC203" s="26"/>
      <c r="AD203" s="26"/>
      <c r="AF203" s="37">
        <v>199</v>
      </c>
      <c r="AG203"/>
      <c r="AH203"/>
      <c r="AI203"/>
      <c r="AJ203"/>
      <c r="AK203"/>
      <c r="AL203"/>
      <c r="AM203"/>
      <c r="AN203"/>
      <c r="AO203"/>
      <c r="AP203" s="24">
        <v>2018.11</v>
      </c>
      <c r="AQ203">
        <v>300810</v>
      </c>
      <c r="AR203">
        <v>3</v>
      </c>
      <c r="AS203">
        <v>100</v>
      </c>
      <c r="AT203">
        <v>41.4</v>
      </c>
      <c r="AU203">
        <v>4.5999999999999996</v>
      </c>
      <c r="AV203">
        <v>2.97</v>
      </c>
      <c r="AW203">
        <v>8.3000000000000007</v>
      </c>
      <c r="AX203">
        <v>9.1</v>
      </c>
    </row>
    <row r="204" spans="12:50" x14ac:dyDescent="0.15">
      <c r="L204" s="37">
        <v>200</v>
      </c>
      <c r="M204">
        <v>2015.12</v>
      </c>
      <c r="N204" s="26">
        <v>270608</v>
      </c>
      <c r="O204" s="26">
        <v>1</v>
      </c>
      <c r="P204" s="26">
        <v>192</v>
      </c>
      <c r="Q204" s="26">
        <v>18.399999999999999</v>
      </c>
      <c r="R204" s="26">
        <v>4.5999999999999996</v>
      </c>
      <c r="S204" s="26">
        <v>3.61</v>
      </c>
      <c r="T204" s="26">
        <v>9.17</v>
      </c>
      <c r="U204" s="33">
        <v>8.6999999999999993</v>
      </c>
      <c r="V204" s="26"/>
      <c r="W204" s="26"/>
      <c r="X204" s="26"/>
      <c r="Y204" s="26"/>
      <c r="Z204" s="26"/>
      <c r="AA204" s="26"/>
      <c r="AB204" s="26"/>
      <c r="AC204" s="26"/>
      <c r="AD204" s="26"/>
      <c r="AF204" s="37">
        <v>200</v>
      </c>
      <c r="AG204"/>
      <c r="AH204"/>
      <c r="AI204"/>
      <c r="AJ204"/>
      <c r="AK204"/>
      <c r="AL204"/>
      <c r="AM204"/>
      <c r="AN204"/>
      <c r="AO204"/>
      <c r="AP204" s="24">
        <v>2018.11</v>
      </c>
      <c r="AQ204">
        <v>300810</v>
      </c>
      <c r="AR204">
        <v>3</v>
      </c>
      <c r="AS204">
        <v>100</v>
      </c>
      <c r="AT204">
        <v>37.700000000000003</v>
      </c>
      <c r="AU204">
        <v>4.2699999999999996</v>
      </c>
      <c r="AV204">
        <v>3.04</v>
      </c>
      <c r="AW204">
        <v>8.52</v>
      </c>
      <c r="AX204">
        <v>11.4</v>
      </c>
    </row>
    <row r="205" spans="12:50" x14ac:dyDescent="0.15">
      <c r="L205" s="37">
        <v>201</v>
      </c>
      <c r="M205">
        <v>2015.12</v>
      </c>
      <c r="N205" s="26">
        <v>270608</v>
      </c>
      <c r="O205" s="26">
        <v>1</v>
      </c>
      <c r="P205" s="26">
        <v>192</v>
      </c>
      <c r="Q205" s="26">
        <v>26.2</v>
      </c>
      <c r="R205" s="26">
        <v>3.82</v>
      </c>
      <c r="S205" s="26">
        <v>3.13</v>
      </c>
      <c r="T205" s="26">
        <v>8.69</v>
      </c>
      <c r="U205" s="33">
        <v>9.1</v>
      </c>
      <c r="V205" s="26"/>
      <c r="W205" s="26"/>
      <c r="X205" s="26"/>
      <c r="Y205" s="26"/>
      <c r="Z205" s="26"/>
      <c r="AA205" s="26"/>
      <c r="AB205" s="26"/>
      <c r="AC205" s="26"/>
      <c r="AD205" s="26"/>
      <c r="AF205" s="37">
        <v>201</v>
      </c>
      <c r="AG205"/>
      <c r="AH205"/>
      <c r="AI205"/>
      <c r="AJ205"/>
      <c r="AK205"/>
      <c r="AL205"/>
      <c r="AM205"/>
      <c r="AN205"/>
      <c r="AO205"/>
      <c r="AP205" s="24">
        <v>2018.11</v>
      </c>
      <c r="AQ205">
        <v>300808</v>
      </c>
      <c r="AR205">
        <v>3</v>
      </c>
      <c r="AS205">
        <v>102</v>
      </c>
      <c r="AT205">
        <v>51.4</v>
      </c>
      <c r="AU205">
        <v>3.08</v>
      </c>
      <c r="AV205">
        <v>2.54</v>
      </c>
      <c r="AW205">
        <v>7.94</v>
      </c>
      <c r="AX205">
        <v>9.4</v>
      </c>
    </row>
    <row r="206" spans="12:50" x14ac:dyDescent="0.15">
      <c r="L206" s="37">
        <v>202</v>
      </c>
      <c r="M206">
        <v>2015.12</v>
      </c>
      <c r="N206" s="26">
        <v>270605</v>
      </c>
      <c r="O206" s="26">
        <v>1</v>
      </c>
      <c r="P206" s="26">
        <v>195</v>
      </c>
      <c r="Q206" s="26">
        <v>26.2</v>
      </c>
      <c r="R206" s="26">
        <v>4.45</v>
      </c>
      <c r="S206" s="26">
        <v>3.53</v>
      </c>
      <c r="T206" s="26">
        <v>9.2899999999999991</v>
      </c>
      <c r="U206" s="33">
        <v>10.9</v>
      </c>
      <c r="V206" s="26"/>
      <c r="W206" s="26"/>
      <c r="X206" s="26"/>
      <c r="Y206" s="26"/>
      <c r="Z206" s="26"/>
      <c r="AA206" s="26"/>
      <c r="AB206" s="26"/>
      <c r="AC206" s="26"/>
      <c r="AD206" s="26"/>
      <c r="AF206" s="37">
        <v>202</v>
      </c>
      <c r="AG206"/>
      <c r="AH206"/>
      <c r="AI206"/>
      <c r="AJ206"/>
      <c r="AK206"/>
      <c r="AL206"/>
      <c r="AM206"/>
      <c r="AN206"/>
      <c r="AO206"/>
      <c r="AP206" s="24">
        <v>2018.11</v>
      </c>
      <c r="AQ206">
        <v>300808</v>
      </c>
      <c r="AR206">
        <v>3</v>
      </c>
      <c r="AS206">
        <v>102</v>
      </c>
      <c r="AT206">
        <v>45</v>
      </c>
      <c r="AU206">
        <v>5.67</v>
      </c>
      <c r="AV206">
        <v>3.02</v>
      </c>
      <c r="AW206">
        <v>8.36</v>
      </c>
      <c r="AX206">
        <v>11.7</v>
      </c>
    </row>
    <row r="207" spans="12:50" x14ac:dyDescent="0.15">
      <c r="L207" s="37">
        <v>203</v>
      </c>
      <c r="M207">
        <v>2015.12</v>
      </c>
      <c r="N207" s="26">
        <v>270516</v>
      </c>
      <c r="O207" s="26">
        <v>1</v>
      </c>
      <c r="P207" s="26">
        <v>215</v>
      </c>
      <c r="Q207" s="26">
        <v>28</v>
      </c>
      <c r="R207" s="26">
        <v>5.48</v>
      </c>
      <c r="S207" s="26">
        <v>3.44</v>
      </c>
      <c r="T207" s="26">
        <v>9.06</v>
      </c>
      <c r="U207" s="33">
        <v>11.8</v>
      </c>
      <c r="V207" s="26"/>
      <c r="W207" s="26"/>
      <c r="X207" s="26"/>
      <c r="Y207" s="26"/>
      <c r="Z207" s="26"/>
      <c r="AA207" s="26"/>
      <c r="AB207" s="26"/>
      <c r="AC207" s="26"/>
      <c r="AD207" s="26"/>
      <c r="AF207" s="37">
        <v>203</v>
      </c>
      <c r="AG207"/>
      <c r="AH207"/>
      <c r="AI207"/>
      <c r="AJ207"/>
      <c r="AK207"/>
      <c r="AL207"/>
      <c r="AM207"/>
      <c r="AN207"/>
      <c r="AO207"/>
      <c r="AP207" s="24">
        <v>2018.11</v>
      </c>
      <c r="AQ207">
        <v>300719</v>
      </c>
      <c r="AR207">
        <v>3</v>
      </c>
      <c r="AS207">
        <v>122</v>
      </c>
      <c r="AT207">
        <v>30.8</v>
      </c>
      <c r="AU207">
        <v>5</v>
      </c>
      <c r="AV207">
        <v>2.84</v>
      </c>
      <c r="AW207">
        <v>8.17</v>
      </c>
      <c r="AX207">
        <v>12.1</v>
      </c>
    </row>
    <row r="208" spans="12:50" x14ac:dyDescent="0.15">
      <c r="L208" s="37">
        <v>204</v>
      </c>
      <c r="M208">
        <v>2015.12</v>
      </c>
      <c r="N208" s="26">
        <v>270507</v>
      </c>
      <c r="O208" s="26">
        <v>1</v>
      </c>
      <c r="P208" s="26">
        <v>224</v>
      </c>
      <c r="Q208" s="26">
        <v>29</v>
      </c>
      <c r="R208" s="26">
        <v>3.61</v>
      </c>
      <c r="S208" s="26">
        <v>3.07</v>
      </c>
      <c r="T208" s="26">
        <v>8.5299999999999994</v>
      </c>
      <c r="U208" s="33">
        <v>10</v>
      </c>
      <c r="V208" s="26"/>
      <c r="W208" s="26"/>
      <c r="X208" s="26"/>
      <c r="Y208" s="26"/>
      <c r="Z208" s="26"/>
      <c r="AA208" s="26"/>
      <c r="AB208" s="26"/>
      <c r="AC208" s="26"/>
      <c r="AD208" s="26"/>
      <c r="AF208" s="37">
        <v>204</v>
      </c>
      <c r="AG208"/>
      <c r="AH208"/>
      <c r="AI208"/>
      <c r="AJ208"/>
      <c r="AK208"/>
      <c r="AL208"/>
      <c r="AM208"/>
      <c r="AN208"/>
      <c r="AO208"/>
      <c r="AP208" s="24">
        <v>2018.11</v>
      </c>
      <c r="AQ208">
        <v>300323</v>
      </c>
      <c r="AR208">
        <v>3</v>
      </c>
      <c r="AS208">
        <v>240</v>
      </c>
      <c r="AT208">
        <v>32.1</v>
      </c>
      <c r="AU208">
        <v>4.9000000000000004</v>
      </c>
      <c r="AV208">
        <v>3.69</v>
      </c>
      <c r="AW208">
        <v>9.16</v>
      </c>
      <c r="AX208">
        <v>12.6</v>
      </c>
    </row>
    <row r="209" spans="12:50" x14ac:dyDescent="0.15">
      <c r="L209" s="37">
        <v>205</v>
      </c>
      <c r="M209">
        <v>2015.12</v>
      </c>
      <c r="N209" s="26">
        <v>270505</v>
      </c>
      <c r="O209" s="26">
        <v>1</v>
      </c>
      <c r="P209" s="26">
        <v>226</v>
      </c>
      <c r="Q209" s="26">
        <v>33.9</v>
      </c>
      <c r="R209" s="26">
        <v>3.54</v>
      </c>
      <c r="S209" s="26">
        <v>3.17</v>
      </c>
      <c r="T209" s="26">
        <v>8.7899999999999991</v>
      </c>
      <c r="U209" s="33">
        <v>10.6</v>
      </c>
      <c r="V209" s="26"/>
      <c r="W209" s="26"/>
      <c r="X209" s="26"/>
      <c r="Y209" s="26"/>
      <c r="Z209" s="26"/>
      <c r="AA209" s="26"/>
      <c r="AB209" s="26"/>
      <c r="AC209" s="26"/>
      <c r="AD209" s="26"/>
      <c r="AF209" s="37">
        <v>205</v>
      </c>
      <c r="AG209"/>
      <c r="AH209"/>
      <c r="AI209"/>
      <c r="AJ209"/>
      <c r="AK209"/>
      <c r="AL209"/>
      <c r="AM209"/>
      <c r="AN209"/>
      <c r="AO209"/>
      <c r="AP209" s="24">
        <v>2018.11</v>
      </c>
      <c r="AQ209">
        <v>300315</v>
      </c>
      <c r="AR209">
        <v>3</v>
      </c>
      <c r="AS209">
        <v>248</v>
      </c>
      <c r="AT209">
        <v>28.5</v>
      </c>
      <c r="AU209">
        <v>5.74</v>
      </c>
      <c r="AV209">
        <v>3.32</v>
      </c>
      <c r="AW209">
        <v>8.76</v>
      </c>
      <c r="AX209">
        <v>12.4</v>
      </c>
    </row>
    <row r="210" spans="12:50" x14ac:dyDescent="0.15">
      <c r="L210" s="37">
        <v>206</v>
      </c>
      <c r="M210">
        <v>2015.12</v>
      </c>
      <c r="N210" s="26">
        <v>270420</v>
      </c>
      <c r="O210" s="26">
        <v>1</v>
      </c>
      <c r="P210" s="26">
        <v>241</v>
      </c>
      <c r="Q210" s="26">
        <v>31.7</v>
      </c>
      <c r="R210" s="26">
        <v>3.47</v>
      </c>
      <c r="S210" s="26">
        <v>3.29</v>
      </c>
      <c r="T210" s="26">
        <v>9.06</v>
      </c>
      <c r="U210" s="33">
        <v>8.6</v>
      </c>
      <c r="V210" s="26"/>
      <c r="W210" s="26"/>
      <c r="X210" s="26"/>
      <c r="Y210" s="26"/>
      <c r="Z210" s="26"/>
      <c r="AA210" s="26"/>
      <c r="AB210" s="26"/>
      <c r="AC210" s="26"/>
      <c r="AD210" s="26"/>
      <c r="AF210" s="37">
        <v>206</v>
      </c>
      <c r="AG210"/>
      <c r="AH210"/>
      <c r="AI210"/>
      <c r="AJ210"/>
      <c r="AK210"/>
      <c r="AL210"/>
      <c r="AM210"/>
      <c r="AN210"/>
      <c r="AO210"/>
      <c r="AP210" s="24">
        <v>2018.11</v>
      </c>
      <c r="AQ210">
        <v>300217</v>
      </c>
      <c r="AR210">
        <v>3</v>
      </c>
      <c r="AS210">
        <v>274</v>
      </c>
      <c r="AT210">
        <v>39.299999999999997</v>
      </c>
      <c r="AU210">
        <v>3.27</v>
      </c>
      <c r="AV210">
        <v>3.32</v>
      </c>
      <c r="AW210">
        <v>8.44</v>
      </c>
      <c r="AX210">
        <v>8</v>
      </c>
    </row>
    <row r="211" spans="12:50" x14ac:dyDescent="0.15">
      <c r="L211" s="37">
        <v>207</v>
      </c>
      <c r="M211">
        <v>2015.12</v>
      </c>
      <c r="N211" s="26">
        <v>270419</v>
      </c>
      <c r="O211" s="26">
        <v>1</v>
      </c>
      <c r="P211" s="26">
        <v>242</v>
      </c>
      <c r="Q211" s="26">
        <v>26.2</v>
      </c>
      <c r="R211" s="26">
        <v>4.2</v>
      </c>
      <c r="S211" s="26">
        <v>3.73</v>
      </c>
      <c r="T211" s="26">
        <v>9.34</v>
      </c>
      <c r="U211" s="33">
        <v>11.4</v>
      </c>
      <c r="V211" s="26"/>
      <c r="W211" s="26"/>
      <c r="X211" s="26"/>
      <c r="Y211" s="26"/>
      <c r="Z211" s="26"/>
      <c r="AA211" s="26"/>
      <c r="AB211" s="26"/>
      <c r="AC211" s="26"/>
      <c r="AD211" s="26"/>
      <c r="AF211" s="37">
        <v>207</v>
      </c>
      <c r="AG211"/>
      <c r="AH211"/>
      <c r="AI211"/>
      <c r="AJ211"/>
      <c r="AK211"/>
      <c r="AL211"/>
      <c r="AM211"/>
      <c r="AN211"/>
      <c r="AO211"/>
      <c r="AP211" s="24">
        <v>2018.11</v>
      </c>
      <c r="AQ211">
        <v>300213</v>
      </c>
      <c r="AR211">
        <v>3</v>
      </c>
      <c r="AS211">
        <v>278</v>
      </c>
      <c r="AT211">
        <v>27.7</v>
      </c>
      <c r="AU211">
        <v>4.3899999999999997</v>
      </c>
      <c r="AV211">
        <v>3.69</v>
      </c>
      <c r="AW211">
        <v>8.73</v>
      </c>
      <c r="AX211">
        <v>13.3</v>
      </c>
    </row>
    <row r="212" spans="12:50" x14ac:dyDescent="0.15">
      <c r="L212" s="37">
        <v>208</v>
      </c>
      <c r="M212">
        <v>2015.12</v>
      </c>
      <c r="N212" s="26">
        <v>270408</v>
      </c>
      <c r="O212" s="26">
        <v>1</v>
      </c>
      <c r="P212" s="26">
        <v>253</v>
      </c>
      <c r="Q212" s="26">
        <v>26</v>
      </c>
      <c r="R212" s="26">
        <v>4.04</v>
      </c>
      <c r="S212" s="26">
        <v>3.83</v>
      </c>
      <c r="T212" s="26">
        <v>9.3699999999999992</v>
      </c>
      <c r="U212" s="33">
        <v>11.4</v>
      </c>
      <c r="V212" s="26"/>
      <c r="W212" s="26"/>
      <c r="X212" s="26"/>
      <c r="Y212" s="26"/>
      <c r="Z212" s="26"/>
      <c r="AA212" s="26"/>
      <c r="AB212" s="26"/>
      <c r="AC212" s="26"/>
      <c r="AD212" s="26"/>
      <c r="AF212" s="37">
        <v>208</v>
      </c>
      <c r="AG212"/>
      <c r="AH212"/>
      <c r="AI212"/>
      <c r="AJ212"/>
      <c r="AK212"/>
      <c r="AL212"/>
      <c r="AM212"/>
      <c r="AN212"/>
      <c r="AO212"/>
      <c r="AP212" s="24">
        <v>2018.12</v>
      </c>
      <c r="AQ212">
        <v>300906</v>
      </c>
      <c r="AR212">
        <v>3</v>
      </c>
      <c r="AS212">
        <v>101</v>
      </c>
      <c r="AT212">
        <v>37.1</v>
      </c>
      <c r="AU212">
        <v>3.18</v>
      </c>
      <c r="AV212">
        <v>3.02</v>
      </c>
      <c r="AW212">
        <v>8.1300000000000008</v>
      </c>
      <c r="AX212">
        <v>6.3</v>
      </c>
    </row>
    <row r="213" spans="12:50" x14ac:dyDescent="0.15">
      <c r="L213" s="37">
        <v>209</v>
      </c>
      <c r="M213">
        <v>2015.12</v>
      </c>
      <c r="N213" s="26">
        <v>270406</v>
      </c>
      <c r="O213" s="26">
        <v>1</v>
      </c>
      <c r="P213" s="26">
        <v>255</v>
      </c>
      <c r="Q213" s="26">
        <v>37.4</v>
      </c>
      <c r="R213" s="26">
        <v>3.91</v>
      </c>
      <c r="S213" s="26">
        <v>3.2</v>
      </c>
      <c r="T213" s="26">
        <v>8.5500000000000007</v>
      </c>
      <c r="U213" s="33">
        <v>8</v>
      </c>
      <c r="V213" s="26"/>
      <c r="W213" s="26"/>
      <c r="X213" s="26"/>
      <c r="Y213" s="26"/>
      <c r="Z213" s="26"/>
      <c r="AA213" s="26"/>
      <c r="AB213" s="26"/>
      <c r="AC213" s="26"/>
      <c r="AD213" s="26"/>
      <c r="AF213" s="37">
        <v>209</v>
      </c>
      <c r="AG213"/>
      <c r="AH213"/>
      <c r="AI213"/>
      <c r="AJ213"/>
      <c r="AK213"/>
      <c r="AL213"/>
      <c r="AM213"/>
      <c r="AN213"/>
      <c r="AO213"/>
      <c r="AP213" s="24">
        <v>2018.12</v>
      </c>
      <c r="AQ213">
        <v>300901</v>
      </c>
      <c r="AR213">
        <v>3</v>
      </c>
      <c r="AS213">
        <v>106</v>
      </c>
      <c r="AT213">
        <v>39.5</v>
      </c>
      <c r="AU213">
        <v>3.94</v>
      </c>
      <c r="AV213">
        <v>3.02</v>
      </c>
      <c r="AW213">
        <v>8.1199999999999992</v>
      </c>
      <c r="AX213">
        <v>7</v>
      </c>
    </row>
    <row r="214" spans="12:50" x14ac:dyDescent="0.15">
      <c r="L214" s="37">
        <v>210</v>
      </c>
      <c r="M214">
        <v>2015.12</v>
      </c>
      <c r="N214" s="26">
        <v>270324</v>
      </c>
      <c r="O214" s="26">
        <v>1</v>
      </c>
      <c r="P214" s="26">
        <v>268</v>
      </c>
      <c r="Q214" s="26">
        <v>40.9</v>
      </c>
      <c r="R214" s="26">
        <v>4.4800000000000004</v>
      </c>
      <c r="S214" s="26">
        <v>3.74</v>
      </c>
      <c r="T214" s="26">
        <v>9.57</v>
      </c>
      <c r="U214" s="33">
        <v>11.9</v>
      </c>
      <c r="V214" s="26"/>
      <c r="W214" s="26"/>
      <c r="X214" s="26"/>
      <c r="Y214" s="26"/>
      <c r="Z214" s="26"/>
      <c r="AA214" s="26"/>
      <c r="AB214" s="26"/>
      <c r="AC214" s="26"/>
      <c r="AD214" s="26"/>
      <c r="AF214" s="37">
        <v>210</v>
      </c>
      <c r="AG214"/>
      <c r="AH214"/>
      <c r="AI214"/>
      <c r="AJ214"/>
      <c r="AK214"/>
      <c r="AL214"/>
      <c r="AM214"/>
      <c r="AN214"/>
      <c r="AO214"/>
      <c r="AP214" s="24">
        <v>2018.12</v>
      </c>
      <c r="AQ214">
        <v>300817</v>
      </c>
      <c r="AR214">
        <v>3</v>
      </c>
      <c r="AS214">
        <v>121</v>
      </c>
      <c r="AT214">
        <v>45</v>
      </c>
      <c r="AU214">
        <v>3.31</v>
      </c>
      <c r="AV214">
        <v>3.33</v>
      </c>
      <c r="AW214">
        <v>8.58</v>
      </c>
      <c r="AX214">
        <v>7.3</v>
      </c>
    </row>
    <row r="215" spans="12:50" x14ac:dyDescent="0.15">
      <c r="L215" s="37">
        <v>211</v>
      </c>
      <c r="M215">
        <v>2015.12</v>
      </c>
      <c r="N215" s="26">
        <v>270319</v>
      </c>
      <c r="O215" s="26">
        <v>1</v>
      </c>
      <c r="P215" s="26">
        <v>273</v>
      </c>
      <c r="Q215" s="26">
        <v>38.700000000000003</v>
      </c>
      <c r="R215" s="26">
        <v>3.29</v>
      </c>
      <c r="S215" s="26">
        <v>3.53</v>
      </c>
      <c r="T215" s="26">
        <v>9.1300000000000008</v>
      </c>
      <c r="U215" s="33">
        <v>9.9</v>
      </c>
      <c r="V215" s="26"/>
      <c r="W215" s="26"/>
      <c r="X215" s="26"/>
      <c r="Y215" s="26"/>
      <c r="Z215" s="26"/>
      <c r="AA215" s="26"/>
      <c r="AB215" s="26"/>
      <c r="AC215" s="26"/>
      <c r="AD215" s="26"/>
      <c r="AF215" s="37">
        <v>211</v>
      </c>
      <c r="AG215"/>
      <c r="AH215"/>
      <c r="AI215"/>
      <c r="AJ215"/>
      <c r="AK215"/>
      <c r="AL215"/>
      <c r="AM215"/>
      <c r="AN215"/>
      <c r="AO215"/>
      <c r="AP215" s="24">
        <v>2018.12</v>
      </c>
      <c r="AQ215">
        <v>300810</v>
      </c>
      <c r="AR215">
        <v>3</v>
      </c>
      <c r="AS215">
        <v>128</v>
      </c>
      <c r="AT215">
        <v>39.4</v>
      </c>
      <c r="AU215">
        <v>4.26</v>
      </c>
      <c r="AV215">
        <v>2.97</v>
      </c>
      <c r="AW215">
        <v>8.44</v>
      </c>
      <c r="AX215">
        <v>7.9</v>
      </c>
    </row>
    <row r="216" spans="12:50" x14ac:dyDescent="0.15">
      <c r="L216" s="37">
        <v>212</v>
      </c>
      <c r="M216">
        <v>2015.12</v>
      </c>
      <c r="N216" s="26">
        <v>270310</v>
      </c>
      <c r="O216" s="26">
        <v>1</v>
      </c>
      <c r="P216" s="26">
        <v>282</v>
      </c>
      <c r="Q216" s="26">
        <v>29.6</v>
      </c>
      <c r="R216" s="26">
        <v>4.57</v>
      </c>
      <c r="S216" s="26">
        <v>3.55</v>
      </c>
      <c r="T216" s="26">
        <v>9.14</v>
      </c>
      <c r="U216" s="33">
        <v>8.1</v>
      </c>
      <c r="V216" s="26"/>
      <c r="W216" s="26"/>
      <c r="X216" s="26"/>
      <c r="Y216" s="26"/>
      <c r="Z216" s="26"/>
      <c r="AA216" s="26"/>
      <c r="AB216" s="26"/>
      <c r="AC216" s="26"/>
      <c r="AD216" s="26"/>
      <c r="AF216" s="37">
        <v>212</v>
      </c>
      <c r="AG216"/>
      <c r="AH216"/>
      <c r="AI216"/>
      <c r="AJ216"/>
      <c r="AK216"/>
      <c r="AL216"/>
      <c r="AM216"/>
      <c r="AN216"/>
      <c r="AO216"/>
      <c r="AP216" s="24">
        <v>2018.12</v>
      </c>
      <c r="AQ216">
        <v>300808</v>
      </c>
      <c r="AR216">
        <v>3</v>
      </c>
      <c r="AS216">
        <v>130</v>
      </c>
      <c r="AT216">
        <v>39.5</v>
      </c>
      <c r="AU216">
        <v>3.35</v>
      </c>
      <c r="AV216">
        <v>2.87</v>
      </c>
      <c r="AW216">
        <v>8.27</v>
      </c>
      <c r="AX216">
        <v>11.4</v>
      </c>
    </row>
    <row r="217" spans="12:50" x14ac:dyDescent="0.15">
      <c r="L217" s="37">
        <v>213</v>
      </c>
      <c r="M217">
        <v>2015.12</v>
      </c>
      <c r="N217" s="26">
        <v>270304</v>
      </c>
      <c r="O217" s="26">
        <v>1</v>
      </c>
      <c r="P217" s="26">
        <v>288</v>
      </c>
      <c r="Q217" s="26">
        <v>33</v>
      </c>
      <c r="R217" s="26">
        <v>3.64</v>
      </c>
      <c r="S217" s="26">
        <v>3.46</v>
      </c>
      <c r="T217" s="26">
        <v>9.16</v>
      </c>
      <c r="U217" s="33">
        <v>9.1999999999999993</v>
      </c>
      <c r="V217" s="26"/>
      <c r="W217" s="26"/>
      <c r="X217" s="26"/>
      <c r="Y217" s="26"/>
      <c r="Z217" s="26"/>
      <c r="AA217" s="26"/>
      <c r="AB217" s="26"/>
      <c r="AC217" s="26"/>
      <c r="AD217" s="26"/>
      <c r="AF217" s="37">
        <v>213</v>
      </c>
      <c r="AG217"/>
      <c r="AH217"/>
      <c r="AI217"/>
      <c r="AJ217"/>
      <c r="AK217"/>
      <c r="AL217"/>
      <c r="AM217"/>
      <c r="AN217"/>
      <c r="AO217"/>
      <c r="AP217" s="24">
        <v>2018.12</v>
      </c>
      <c r="AQ217">
        <v>300808</v>
      </c>
      <c r="AR217">
        <v>3</v>
      </c>
      <c r="AS217">
        <v>130</v>
      </c>
      <c r="AT217">
        <v>39.5</v>
      </c>
      <c r="AU217">
        <v>4.78</v>
      </c>
      <c r="AV217">
        <v>3.25</v>
      </c>
      <c r="AW217">
        <v>8.67</v>
      </c>
      <c r="AX217">
        <v>8.6</v>
      </c>
    </row>
    <row r="218" spans="12:50" x14ac:dyDescent="0.15">
      <c r="L218" s="37">
        <v>214</v>
      </c>
      <c r="M218">
        <v>2016.01</v>
      </c>
      <c r="N218" s="26">
        <v>271005</v>
      </c>
      <c r="O218" s="26">
        <v>1</v>
      </c>
      <c r="P218" s="26">
        <v>109</v>
      </c>
      <c r="Q218" s="26">
        <v>32.799999999999997</v>
      </c>
      <c r="R218" s="26">
        <v>4.45</v>
      </c>
      <c r="S218" s="26">
        <v>3.44</v>
      </c>
      <c r="T218" s="26">
        <v>9.2100000000000009</v>
      </c>
      <c r="U218" s="33">
        <v>6.8</v>
      </c>
      <c r="V218" s="26"/>
      <c r="W218" s="26"/>
      <c r="X218" s="26"/>
      <c r="Y218" s="26"/>
      <c r="Z218" s="26"/>
      <c r="AA218" s="26"/>
      <c r="AB218" s="26"/>
      <c r="AC218" s="26"/>
      <c r="AD218" s="26"/>
      <c r="AF218" s="37">
        <v>214</v>
      </c>
      <c r="AG218"/>
      <c r="AH218"/>
      <c r="AI218"/>
      <c r="AJ218"/>
      <c r="AK218"/>
      <c r="AL218"/>
      <c r="AM218"/>
      <c r="AN218"/>
      <c r="AO218"/>
      <c r="AP218" s="24">
        <v>2018.12</v>
      </c>
      <c r="AQ218">
        <v>300719</v>
      </c>
      <c r="AR218">
        <v>3</v>
      </c>
      <c r="AS218">
        <v>150</v>
      </c>
      <c r="AT218">
        <v>36.700000000000003</v>
      </c>
      <c r="AU218">
        <v>4.2</v>
      </c>
      <c r="AV218">
        <v>2.99</v>
      </c>
      <c r="AW218">
        <v>8.16</v>
      </c>
      <c r="AX218">
        <v>8</v>
      </c>
    </row>
    <row r="219" spans="12:50" x14ac:dyDescent="0.15">
      <c r="L219" s="37">
        <v>215</v>
      </c>
      <c r="M219">
        <v>2016.01</v>
      </c>
      <c r="N219" s="26">
        <v>271005</v>
      </c>
      <c r="O219" s="26">
        <v>1</v>
      </c>
      <c r="P219" s="26">
        <v>109</v>
      </c>
      <c r="Q219" s="26">
        <v>36.799999999999997</v>
      </c>
      <c r="R219" s="26">
        <v>2.83</v>
      </c>
      <c r="S219" s="26">
        <v>2.59</v>
      </c>
      <c r="T219" s="26">
        <v>7.92</v>
      </c>
      <c r="U219" s="33">
        <v>11.5</v>
      </c>
      <c r="V219" s="26"/>
      <c r="W219" s="26"/>
      <c r="X219" s="26"/>
      <c r="Y219" s="26"/>
      <c r="Z219" s="26"/>
      <c r="AA219" s="26"/>
      <c r="AB219" s="26"/>
      <c r="AC219" s="26"/>
      <c r="AD219" s="26"/>
      <c r="AF219" s="37">
        <v>215</v>
      </c>
      <c r="AG219"/>
      <c r="AH219"/>
      <c r="AI219"/>
      <c r="AJ219"/>
      <c r="AK219"/>
      <c r="AL219"/>
      <c r="AM219"/>
      <c r="AN219"/>
      <c r="AO219"/>
      <c r="AP219" s="24">
        <v>2018.12</v>
      </c>
      <c r="AQ219">
        <v>300714</v>
      </c>
      <c r="AR219">
        <v>3</v>
      </c>
      <c r="AS219">
        <v>155</v>
      </c>
      <c r="AT219">
        <v>26.2</v>
      </c>
      <c r="AU219">
        <v>4.62</v>
      </c>
      <c r="AV219">
        <v>3.37</v>
      </c>
      <c r="AW219">
        <v>8.8000000000000007</v>
      </c>
      <c r="AX219">
        <v>12.7</v>
      </c>
    </row>
    <row r="220" spans="12:50" x14ac:dyDescent="0.15">
      <c r="L220" s="37">
        <v>216</v>
      </c>
      <c r="M220">
        <v>2016.01</v>
      </c>
      <c r="N220" s="26">
        <v>270923</v>
      </c>
      <c r="O220" s="26">
        <v>1</v>
      </c>
      <c r="P220" s="26">
        <v>121</v>
      </c>
      <c r="Q220" s="26">
        <v>36.1</v>
      </c>
      <c r="R220" s="26">
        <v>4.21</v>
      </c>
      <c r="S220" s="26">
        <v>3.33</v>
      </c>
      <c r="T220" s="26">
        <v>8.85</v>
      </c>
      <c r="U220" s="33">
        <v>10.199999999999999</v>
      </c>
      <c r="V220" s="26"/>
      <c r="W220" s="26"/>
      <c r="X220" s="26"/>
      <c r="Y220" s="26"/>
      <c r="Z220" s="26"/>
      <c r="AA220" s="26"/>
      <c r="AB220" s="26"/>
      <c r="AC220" s="26"/>
      <c r="AD220" s="26"/>
      <c r="AF220" s="37">
        <v>216</v>
      </c>
      <c r="AG220"/>
      <c r="AH220"/>
      <c r="AI220"/>
      <c r="AJ220"/>
      <c r="AK220"/>
      <c r="AL220"/>
      <c r="AM220"/>
      <c r="AN220"/>
      <c r="AO220"/>
      <c r="AP220" s="24">
        <v>2018.12</v>
      </c>
      <c r="AQ220">
        <v>300410</v>
      </c>
      <c r="AR220">
        <v>3</v>
      </c>
      <c r="AS220">
        <v>250</v>
      </c>
      <c r="AT220">
        <v>30.1</v>
      </c>
      <c r="AU220">
        <v>4.5599999999999996</v>
      </c>
      <c r="AV220">
        <v>3.76</v>
      </c>
      <c r="AW220">
        <v>9.2200000000000006</v>
      </c>
      <c r="AX220">
        <v>10.6</v>
      </c>
    </row>
    <row r="221" spans="12:50" x14ac:dyDescent="0.15">
      <c r="L221" s="37">
        <v>217</v>
      </c>
      <c r="M221">
        <v>2016.01</v>
      </c>
      <c r="N221" s="26">
        <v>270919</v>
      </c>
      <c r="O221" s="26">
        <v>1</v>
      </c>
      <c r="P221" s="26">
        <v>125</v>
      </c>
      <c r="Q221" s="26">
        <v>26.3</v>
      </c>
      <c r="R221" s="26">
        <v>3.66</v>
      </c>
      <c r="S221" s="26">
        <v>3.02</v>
      </c>
      <c r="T221" s="26">
        <v>8.86</v>
      </c>
      <c r="U221" s="33">
        <v>10.7</v>
      </c>
      <c r="V221" s="26"/>
      <c r="W221" s="26"/>
      <c r="X221" s="26"/>
      <c r="Y221" s="26"/>
      <c r="Z221" s="26"/>
      <c r="AA221" s="26"/>
      <c r="AB221" s="26"/>
      <c r="AC221" s="26"/>
      <c r="AD221" s="26"/>
      <c r="AF221" s="37">
        <v>217</v>
      </c>
      <c r="AG221"/>
      <c r="AH221"/>
      <c r="AI221"/>
      <c r="AJ221"/>
      <c r="AK221"/>
      <c r="AL221"/>
      <c r="AM221"/>
      <c r="AN221"/>
      <c r="AO221"/>
      <c r="AP221" s="24">
        <v>2018.12</v>
      </c>
      <c r="AQ221">
        <v>300323</v>
      </c>
      <c r="AR221">
        <v>3</v>
      </c>
      <c r="AS221">
        <v>268</v>
      </c>
      <c r="AT221">
        <v>29.1</v>
      </c>
      <c r="AU221">
        <v>5.12</v>
      </c>
      <c r="AV221">
        <v>3.87</v>
      </c>
      <c r="AW221">
        <v>9.42</v>
      </c>
      <c r="AX221">
        <v>12.2</v>
      </c>
    </row>
    <row r="222" spans="12:50" x14ac:dyDescent="0.15">
      <c r="L222" s="37">
        <v>218</v>
      </c>
      <c r="M222">
        <v>2016.01</v>
      </c>
      <c r="N222" s="26">
        <v>270911</v>
      </c>
      <c r="O222" s="26">
        <v>1</v>
      </c>
      <c r="P222" s="26">
        <v>133</v>
      </c>
      <c r="Q222" s="26">
        <v>28.3</v>
      </c>
      <c r="R222" s="26">
        <v>4.6399999999999997</v>
      </c>
      <c r="S222" s="26">
        <v>3.2</v>
      </c>
      <c r="T222" s="26">
        <v>8.73</v>
      </c>
      <c r="U222" s="33">
        <v>8.8000000000000007</v>
      </c>
      <c r="V222" s="26"/>
      <c r="W222" s="26"/>
      <c r="X222" s="26"/>
      <c r="Y222" s="26"/>
      <c r="Z222" s="26"/>
      <c r="AA222" s="26"/>
      <c r="AB222" s="26"/>
      <c r="AC222" s="26"/>
      <c r="AD222" s="26"/>
      <c r="AF222" s="37">
        <v>218</v>
      </c>
      <c r="AG222"/>
      <c r="AH222"/>
      <c r="AI222"/>
      <c r="AJ222"/>
      <c r="AK222"/>
      <c r="AL222"/>
      <c r="AM222"/>
      <c r="AN222"/>
      <c r="AO222"/>
      <c r="AP222" s="24">
        <v>2018.12</v>
      </c>
      <c r="AQ222">
        <v>300315</v>
      </c>
      <c r="AR222">
        <v>3</v>
      </c>
      <c r="AS222">
        <v>276</v>
      </c>
      <c r="AT222">
        <v>29.2</v>
      </c>
      <c r="AU222">
        <v>5.63</v>
      </c>
      <c r="AV222">
        <v>3.6</v>
      </c>
      <c r="AW222">
        <v>8.94</v>
      </c>
      <c r="AX222">
        <v>11.4</v>
      </c>
    </row>
    <row r="223" spans="12:50" x14ac:dyDescent="0.15">
      <c r="L223" s="37">
        <v>219</v>
      </c>
      <c r="M223">
        <v>2016.01</v>
      </c>
      <c r="N223" s="26">
        <v>270908</v>
      </c>
      <c r="O223" s="26">
        <v>1</v>
      </c>
      <c r="P223" s="26">
        <v>136</v>
      </c>
      <c r="Q223" s="26">
        <v>21.5</v>
      </c>
      <c r="R223" s="26">
        <v>4.82</v>
      </c>
      <c r="S223" s="26">
        <v>3.27</v>
      </c>
      <c r="T223" s="26">
        <v>9.11</v>
      </c>
      <c r="U223" s="33">
        <v>8</v>
      </c>
      <c r="V223" s="26"/>
      <c r="W223" s="26"/>
      <c r="X223" s="26"/>
      <c r="Y223" s="26"/>
      <c r="Z223" s="26"/>
      <c r="AA223" s="26"/>
      <c r="AB223" s="26"/>
      <c r="AC223" s="26"/>
      <c r="AD223" s="26"/>
      <c r="AF223" s="37">
        <v>219</v>
      </c>
      <c r="AG223"/>
      <c r="AH223"/>
      <c r="AI223"/>
      <c r="AJ223"/>
      <c r="AK223"/>
      <c r="AL223"/>
      <c r="AM223"/>
      <c r="AN223"/>
      <c r="AO223"/>
      <c r="AP223" s="24">
        <v>2019.01</v>
      </c>
      <c r="AQ223">
        <v>301010</v>
      </c>
      <c r="AR223">
        <v>3</v>
      </c>
      <c r="AS223">
        <v>102</v>
      </c>
      <c r="AT223">
        <v>36.200000000000003</v>
      </c>
      <c r="AU223">
        <v>5.34</v>
      </c>
      <c r="AV223">
        <v>3.43</v>
      </c>
      <c r="AW223">
        <v>9.08</v>
      </c>
      <c r="AX223">
        <v>9</v>
      </c>
    </row>
    <row r="224" spans="12:50" x14ac:dyDescent="0.15">
      <c r="L224" s="37">
        <v>220</v>
      </c>
      <c r="M224">
        <v>2016.01</v>
      </c>
      <c r="N224" s="26">
        <v>270901</v>
      </c>
      <c r="O224" s="26">
        <v>1</v>
      </c>
      <c r="P224" s="26">
        <v>143</v>
      </c>
      <c r="Q224" s="26">
        <v>42.1</v>
      </c>
      <c r="R224" s="26">
        <v>4.05</v>
      </c>
      <c r="S224" s="26">
        <v>3.27</v>
      </c>
      <c r="T224" s="26">
        <v>8.92</v>
      </c>
      <c r="U224" s="33">
        <v>9</v>
      </c>
      <c r="V224" s="26"/>
      <c r="W224" s="26"/>
      <c r="X224" s="26"/>
      <c r="Y224" s="26"/>
      <c r="Z224" s="26"/>
      <c r="AA224" s="26"/>
      <c r="AB224" s="26"/>
      <c r="AC224" s="26"/>
      <c r="AD224" s="26"/>
      <c r="AF224" s="37">
        <v>220</v>
      </c>
      <c r="AG224"/>
      <c r="AH224"/>
      <c r="AI224"/>
      <c r="AJ224"/>
      <c r="AK224"/>
      <c r="AL224"/>
      <c r="AM224"/>
      <c r="AN224"/>
      <c r="AO224"/>
      <c r="AP224" s="24">
        <v>2019.01</v>
      </c>
      <c r="AQ224">
        <v>300907</v>
      </c>
      <c r="AR224">
        <v>3</v>
      </c>
      <c r="AS224">
        <v>135</v>
      </c>
      <c r="AT224">
        <v>44.7</v>
      </c>
      <c r="AU224">
        <v>3.57</v>
      </c>
      <c r="AV224">
        <v>2.56</v>
      </c>
      <c r="AW224">
        <v>7.87</v>
      </c>
      <c r="AX224">
        <v>11.2</v>
      </c>
    </row>
    <row r="225" spans="12:50" x14ac:dyDescent="0.15">
      <c r="L225" s="37">
        <v>221</v>
      </c>
      <c r="M225">
        <v>2016.01</v>
      </c>
      <c r="N225" s="26">
        <v>270828</v>
      </c>
      <c r="O225" s="26">
        <v>1</v>
      </c>
      <c r="P225" s="26">
        <v>147</v>
      </c>
      <c r="Q225" s="26">
        <v>29.5</v>
      </c>
      <c r="R225" s="26">
        <v>4.5999999999999996</v>
      </c>
      <c r="S225" s="26">
        <v>3.48</v>
      </c>
      <c r="T225" s="26">
        <v>9.39</v>
      </c>
      <c r="U225" s="33">
        <v>8.3000000000000007</v>
      </c>
      <c r="V225" s="26"/>
      <c r="W225" s="26"/>
      <c r="X225" s="26"/>
      <c r="Y225" s="26"/>
      <c r="Z225" s="26"/>
      <c r="AA225" s="26"/>
      <c r="AB225" s="26"/>
      <c r="AC225" s="26"/>
      <c r="AD225" s="26"/>
      <c r="AF225" s="37">
        <v>221</v>
      </c>
      <c r="AG225"/>
      <c r="AH225"/>
      <c r="AI225"/>
      <c r="AJ225"/>
      <c r="AK225"/>
      <c r="AL225"/>
      <c r="AM225"/>
      <c r="AN225"/>
      <c r="AO225"/>
      <c r="AP225" s="24">
        <v>2019.01</v>
      </c>
      <c r="AQ225">
        <v>300906</v>
      </c>
      <c r="AR225">
        <v>3</v>
      </c>
      <c r="AS225">
        <v>136</v>
      </c>
      <c r="AT225">
        <v>34.4</v>
      </c>
      <c r="AU225">
        <v>3.89</v>
      </c>
      <c r="AV225">
        <v>3.32</v>
      </c>
      <c r="AW225">
        <v>8.41</v>
      </c>
      <c r="AX225">
        <v>11.3</v>
      </c>
    </row>
    <row r="226" spans="12:50" x14ac:dyDescent="0.15">
      <c r="L226" s="37">
        <v>222</v>
      </c>
      <c r="M226">
        <v>2016.01</v>
      </c>
      <c r="N226" s="26">
        <v>270821</v>
      </c>
      <c r="O226" s="26">
        <v>1</v>
      </c>
      <c r="P226" s="26">
        <v>154</v>
      </c>
      <c r="Q226" s="26">
        <v>39.5</v>
      </c>
      <c r="R226" s="26">
        <v>3.19</v>
      </c>
      <c r="S226" s="26">
        <v>3.09</v>
      </c>
      <c r="T226" s="26">
        <v>8.75</v>
      </c>
      <c r="U226" s="33">
        <v>10.199999999999999</v>
      </c>
      <c r="V226" s="26"/>
      <c r="W226" s="26"/>
      <c r="X226" s="26"/>
      <c r="Y226" s="26"/>
      <c r="Z226" s="26"/>
      <c r="AA226" s="26"/>
      <c r="AB226" s="26"/>
      <c r="AC226" s="26"/>
      <c r="AD226" s="26"/>
      <c r="AF226" s="37">
        <v>222</v>
      </c>
      <c r="AG226"/>
      <c r="AH226"/>
      <c r="AI226"/>
      <c r="AJ226"/>
      <c r="AK226"/>
      <c r="AL226"/>
      <c r="AM226"/>
      <c r="AN226"/>
      <c r="AO226"/>
      <c r="AP226" s="24">
        <v>2019.01</v>
      </c>
      <c r="AQ226">
        <v>300817</v>
      </c>
      <c r="AR226">
        <v>3</v>
      </c>
      <c r="AS226">
        <v>156</v>
      </c>
      <c r="AT226">
        <v>38.6</v>
      </c>
      <c r="AU226">
        <v>4.99</v>
      </c>
      <c r="AV226">
        <v>3.44</v>
      </c>
      <c r="AW226">
        <v>8.84</v>
      </c>
      <c r="AX226">
        <v>7.6</v>
      </c>
    </row>
    <row r="227" spans="12:50" x14ac:dyDescent="0.15">
      <c r="L227" s="37">
        <v>223</v>
      </c>
      <c r="M227">
        <v>2016.01</v>
      </c>
      <c r="N227" s="26">
        <v>270804</v>
      </c>
      <c r="O227" s="26">
        <v>1</v>
      </c>
      <c r="P227" s="26">
        <v>171</v>
      </c>
      <c r="Q227" s="26">
        <v>33.700000000000003</v>
      </c>
      <c r="R227" s="26">
        <v>3.73</v>
      </c>
      <c r="S227" s="26">
        <v>3.53</v>
      </c>
      <c r="T227" s="26">
        <v>9.14</v>
      </c>
      <c r="U227" s="33">
        <v>8.9</v>
      </c>
      <c r="V227" s="26"/>
      <c r="W227" s="26"/>
      <c r="X227" s="26"/>
      <c r="Y227" s="26"/>
      <c r="Z227" s="26"/>
      <c r="AA227" s="26"/>
      <c r="AB227" s="26"/>
      <c r="AC227" s="26"/>
      <c r="AD227" s="26"/>
      <c r="AF227" s="37">
        <v>223</v>
      </c>
      <c r="AG227"/>
      <c r="AH227"/>
      <c r="AI227"/>
      <c r="AJ227"/>
      <c r="AK227"/>
      <c r="AL227"/>
      <c r="AM227"/>
      <c r="AN227"/>
      <c r="AO227"/>
      <c r="AP227" s="24">
        <v>2019.01</v>
      </c>
      <c r="AQ227">
        <v>300810</v>
      </c>
      <c r="AR227">
        <v>3</v>
      </c>
      <c r="AS227">
        <v>163</v>
      </c>
      <c r="AT227">
        <v>38.5</v>
      </c>
      <c r="AU227">
        <v>3.91</v>
      </c>
      <c r="AV227">
        <v>3.15</v>
      </c>
      <c r="AW227">
        <v>8.36</v>
      </c>
      <c r="AX227">
        <v>8.1999999999999993</v>
      </c>
    </row>
    <row r="228" spans="12:50" x14ac:dyDescent="0.15">
      <c r="L228" s="37">
        <v>224</v>
      </c>
      <c r="M228">
        <v>2016.01</v>
      </c>
      <c r="N228" s="26">
        <v>270730</v>
      </c>
      <c r="O228" s="26">
        <v>1</v>
      </c>
      <c r="P228" s="26">
        <v>176</v>
      </c>
      <c r="Q228" s="26">
        <v>34.6</v>
      </c>
      <c r="R228" s="26">
        <v>3.85</v>
      </c>
      <c r="S228" s="26">
        <v>2.91</v>
      </c>
      <c r="T228" s="26">
        <v>8.27</v>
      </c>
      <c r="U228" s="33">
        <v>12.2</v>
      </c>
      <c r="V228" s="26"/>
      <c r="W228" s="26"/>
      <c r="X228" s="26"/>
      <c r="Y228" s="26"/>
      <c r="Z228" s="26"/>
      <c r="AA228" s="26"/>
      <c r="AB228" s="26"/>
      <c r="AC228" s="26"/>
      <c r="AD228" s="26"/>
      <c r="AF228" s="37">
        <v>224</v>
      </c>
      <c r="AG228"/>
      <c r="AH228"/>
      <c r="AI228"/>
      <c r="AJ228"/>
      <c r="AK228"/>
      <c r="AL228"/>
      <c r="AM228"/>
      <c r="AN228"/>
      <c r="AO228"/>
      <c r="AP228" s="24">
        <v>2019.01</v>
      </c>
      <c r="AQ228">
        <v>300810</v>
      </c>
      <c r="AR228">
        <v>3</v>
      </c>
      <c r="AS228">
        <v>163</v>
      </c>
      <c r="AT228">
        <v>33.799999999999997</v>
      </c>
      <c r="AU228">
        <v>4.46</v>
      </c>
      <c r="AV228">
        <v>3.21</v>
      </c>
      <c r="AW228">
        <v>8.83</v>
      </c>
      <c r="AX228">
        <v>9.4</v>
      </c>
    </row>
    <row r="229" spans="12:50" x14ac:dyDescent="0.15">
      <c r="L229" s="37">
        <v>225</v>
      </c>
      <c r="M229">
        <v>2016.01</v>
      </c>
      <c r="N229" s="26">
        <v>270729</v>
      </c>
      <c r="O229" s="26">
        <v>1</v>
      </c>
      <c r="P229" s="26">
        <v>177</v>
      </c>
      <c r="Q229" s="26">
        <v>34</v>
      </c>
      <c r="R229" s="26">
        <v>4.16</v>
      </c>
      <c r="S229" s="26">
        <v>3.32</v>
      </c>
      <c r="T229" s="26">
        <v>8.9600000000000009</v>
      </c>
      <c r="U229" s="33">
        <v>7.9</v>
      </c>
      <c r="V229" s="26"/>
      <c r="W229" s="26"/>
      <c r="X229" s="26"/>
      <c r="Y229" s="26"/>
      <c r="Z229" s="26"/>
      <c r="AA229" s="26"/>
      <c r="AB229" s="26"/>
      <c r="AC229" s="26"/>
      <c r="AD229" s="26"/>
      <c r="AF229" s="37">
        <v>225</v>
      </c>
      <c r="AG229"/>
      <c r="AH229"/>
      <c r="AI229"/>
      <c r="AJ229"/>
      <c r="AK229"/>
      <c r="AL229"/>
      <c r="AM229"/>
      <c r="AN229"/>
      <c r="AO229"/>
      <c r="AP229" s="24">
        <v>2019.01</v>
      </c>
      <c r="AQ229">
        <v>300808</v>
      </c>
      <c r="AR229">
        <v>3</v>
      </c>
      <c r="AS229">
        <v>165</v>
      </c>
      <c r="AT229">
        <v>47.7</v>
      </c>
      <c r="AU229">
        <v>4.26</v>
      </c>
      <c r="AV229">
        <v>3.06</v>
      </c>
      <c r="AW229">
        <v>8.52</v>
      </c>
      <c r="AX229">
        <v>9.3000000000000007</v>
      </c>
    </row>
    <row r="230" spans="12:50" x14ac:dyDescent="0.15">
      <c r="L230" s="37">
        <v>226</v>
      </c>
      <c r="M230">
        <v>2016.01</v>
      </c>
      <c r="N230" s="26">
        <v>270728</v>
      </c>
      <c r="O230" s="26">
        <v>1</v>
      </c>
      <c r="P230" s="26">
        <v>178</v>
      </c>
      <c r="Q230" s="26">
        <v>37.200000000000003</v>
      </c>
      <c r="R230" s="26">
        <v>3.55</v>
      </c>
      <c r="S230" s="26">
        <v>3.18</v>
      </c>
      <c r="T230" s="26">
        <v>8.85</v>
      </c>
      <c r="U230" s="33">
        <v>8.9</v>
      </c>
      <c r="V230" s="26"/>
      <c r="W230" s="26"/>
      <c r="X230" s="26"/>
      <c r="Y230" s="26"/>
      <c r="Z230" s="26"/>
      <c r="AA230" s="26"/>
      <c r="AB230" s="26"/>
      <c r="AC230" s="26"/>
      <c r="AD230" s="26"/>
      <c r="AF230" s="37">
        <v>226</v>
      </c>
      <c r="AG230"/>
      <c r="AH230"/>
      <c r="AI230"/>
      <c r="AJ230"/>
      <c r="AK230"/>
      <c r="AL230"/>
      <c r="AM230"/>
      <c r="AN230"/>
      <c r="AO230"/>
      <c r="AP230" s="24">
        <v>2019.01</v>
      </c>
      <c r="AQ230">
        <v>300808</v>
      </c>
      <c r="AR230">
        <v>3</v>
      </c>
      <c r="AS230">
        <v>165</v>
      </c>
      <c r="AT230">
        <v>38.799999999999997</v>
      </c>
      <c r="AU230">
        <v>4.58</v>
      </c>
      <c r="AV230">
        <v>3.34</v>
      </c>
      <c r="AW230">
        <v>8.7799999999999994</v>
      </c>
      <c r="AX230">
        <v>8.3000000000000007</v>
      </c>
    </row>
    <row r="231" spans="12:50" x14ac:dyDescent="0.15">
      <c r="L231" s="37">
        <v>227</v>
      </c>
      <c r="M231">
        <v>2016.01</v>
      </c>
      <c r="N231" s="26">
        <v>270728</v>
      </c>
      <c r="O231" s="26">
        <v>1</v>
      </c>
      <c r="P231" s="26">
        <v>178</v>
      </c>
      <c r="Q231" s="26">
        <v>36.700000000000003</v>
      </c>
      <c r="R231" s="26">
        <v>3.52</v>
      </c>
      <c r="S231" s="26">
        <v>2.92</v>
      </c>
      <c r="T231" s="26">
        <v>8.68</v>
      </c>
      <c r="U231" s="33">
        <v>8.8000000000000007</v>
      </c>
      <c r="V231" s="26"/>
      <c r="W231" s="26"/>
      <c r="X231" s="26"/>
      <c r="Y231" s="26"/>
      <c r="Z231" s="26"/>
      <c r="AA231" s="26"/>
      <c r="AB231" s="26"/>
      <c r="AC231" s="26"/>
      <c r="AD231" s="26"/>
      <c r="AF231" s="37">
        <v>227</v>
      </c>
      <c r="AG231"/>
      <c r="AH231"/>
      <c r="AI231"/>
      <c r="AJ231"/>
      <c r="AK231"/>
      <c r="AL231"/>
      <c r="AM231"/>
      <c r="AN231"/>
      <c r="AO231"/>
      <c r="AP231" s="24">
        <v>2019.01</v>
      </c>
      <c r="AQ231">
        <v>300719</v>
      </c>
      <c r="AR231">
        <v>3</v>
      </c>
      <c r="AS231">
        <v>185</v>
      </c>
      <c r="AT231">
        <v>34.799999999999997</v>
      </c>
      <c r="AU231">
        <v>3.61</v>
      </c>
      <c r="AV231">
        <v>3</v>
      </c>
      <c r="AW231">
        <v>8.19</v>
      </c>
      <c r="AX231">
        <v>9.3000000000000007</v>
      </c>
    </row>
    <row r="232" spans="12:50" x14ac:dyDescent="0.15">
      <c r="L232" s="37">
        <v>228</v>
      </c>
      <c r="M232">
        <v>2016.01</v>
      </c>
      <c r="N232" s="26">
        <v>270721</v>
      </c>
      <c r="O232" s="26">
        <v>1</v>
      </c>
      <c r="P232" s="26">
        <v>185</v>
      </c>
      <c r="Q232" s="26">
        <v>36.200000000000003</v>
      </c>
      <c r="R232" s="26">
        <v>4.03</v>
      </c>
      <c r="S232" s="26">
        <v>3.41</v>
      </c>
      <c r="T232" s="26">
        <v>8.98</v>
      </c>
      <c r="U232" s="33">
        <v>8.6999999999999993</v>
      </c>
      <c r="V232" s="26"/>
      <c r="W232" s="26"/>
      <c r="X232" s="26"/>
      <c r="Y232" s="26"/>
      <c r="Z232" s="26"/>
      <c r="AA232" s="26"/>
      <c r="AB232" s="26"/>
      <c r="AC232" s="26"/>
      <c r="AD232" s="26"/>
      <c r="AF232" s="37">
        <v>228</v>
      </c>
      <c r="AG232"/>
      <c r="AH232"/>
      <c r="AI232"/>
      <c r="AJ232"/>
      <c r="AK232"/>
      <c r="AL232"/>
      <c r="AM232"/>
      <c r="AN232"/>
      <c r="AO232"/>
      <c r="AP232" s="24">
        <v>2019.01</v>
      </c>
      <c r="AQ232">
        <v>300714</v>
      </c>
      <c r="AR232">
        <v>3</v>
      </c>
      <c r="AS232">
        <v>190</v>
      </c>
      <c r="AT232">
        <v>25.3</v>
      </c>
      <c r="AU232">
        <v>4.2699999999999996</v>
      </c>
      <c r="AV232">
        <v>3.6</v>
      </c>
      <c r="AW232">
        <v>9.15</v>
      </c>
      <c r="AX232">
        <v>12.8</v>
      </c>
    </row>
    <row r="233" spans="12:50" x14ac:dyDescent="0.15">
      <c r="L233" s="37">
        <v>229</v>
      </c>
      <c r="M233">
        <v>2016.01</v>
      </c>
      <c r="N233" s="26">
        <v>270717</v>
      </c>
      <c r="O233" s="26">
        <v>1</v>
      </c>
      <c r="P233" s="26">
        <v>189</v>
      </c>
      <c r="Q233" s="26">
        <v>20.399999999999999</v>
      </c>
      <c r="R233" s="26">
        <v>4.07</v>
      </c>
      <c r="S233" s="26">
        <v>2.92</v>
      </c>
      <c r="T233" s="26">
        <v>8.58</v>
      </c>
      <c r="U233" s="33">
        <v>8</v>
      </c>
      <c r="V233" s="26"/>
      <c r="W233" s="26"/>
      <c r="X233" s="26"/>
      <c r="Y233" s="26"/>
      <c r="Z233" s="26"/>
      <c r="AA233" s="26"/>
      <c r="AB233" s="26"/>
      <c r="AC233" s="26"/>
      <c r="AD233" s="26"/>
      <c r="AF233" s="37">
        <v>229</v>
      </c>
      <c r="AG233"/>
      <c r="AH233"/>
      <c r="AI233"/>
      <c r="AJ233"/>
      <c r="AK233"/>
      <c r="AL233"/>
      <c r="AM233"/>
      <c r="AN233"/>
      <c r="AO233"/>
      <c r="AP233" s="24">
        <v>2019.01</v>
      </c>
      <c r="AQ233">
        <v>300410</v>
      </c>
      <c r="AR233">
        <v>3</v>
      </c>
      <c r="AS233">
        <v>285</v>
      </c>
      <c r="AT233">
        <v>27.6</v>
      </c>
      <c r="AU233">
        <v>4.38</v>
      </c>
      <c r="AV233">
        <v>3.74</v>
      </c>
      <c r="AW233">
        <v>8.9600000000000009</v>
      </c>
      <c r="AX233">
        <v>9.1</v>
      </c>
    </row>
    <row r="234" spans="12:50" x14ac:dyDescent="0.15">
      <c r="L234" s="37">
        <v>230</v>
      </c>
      <c r="M234">
        <v>2016.01</v>
      </c>
      <c r="N234" s="26">
        <v>270717</v>
      </c>
      <c r="O234" s="26">
        <v>1</v>
      </c>
      <c r="P234" s="26">
        <v>189</v>
      </c>
      <c r="Q234" s="26">
        <v>24.2</v>
      </c>
      <c r="R234" s="26">
        <v>2.73</v>
      </c>
      <c r="S234" s="26">
        <v>2.9</v>
      </c>
      <c r="T234" s="26">
        <v>8.3699999999999992</v>
      </c>
      <c r="U234" s="33">
        <v>10.9</v>
      </c>
      <c r="V234" s="26"/>
      <c r="W234" s="26"/>
      <c r="X234" s="26"/>
      <c r="Y234" s="26"/>
      <c r="Z234" s="26"/>
      <c r="AA234" s="26"/>
      <c r="AB234" s="26"/>
      <c r="AC234" s="26"/>
      <c r="AD234" s="26"/>
      <c r="AF234" s="37">
        <v>230</v>
      </c>
      <c r="AG234"/>
      <c r="AH234"/>
      <c r="AI234"/>
      <c r="AJ234"/>
      <c r="AK234"/>
      <c r="AL234"/>
      <c r="AM234"/>
      <c r="AN234"/>
      <c r="AO234"/>
      <c r="AP234" s="24">
        <v>2019.02</v>
      </c>
      <c r="AQ234">
        <v>301103</v>
      </c>
      <c r="AR234">
        <v>3</v>
      </c>
      <c r="AS234">
        <v>106</v>
      </c>
      <c r="AT234">
        <v>31.8</v>
      </c>
      <c r="AU234">
        <v>4.2</v>
      </c>
      <c r="AV234">
        <v>3.01</v>
      </c>
      <c r="AW234">
        <v>8.33</v>
      </c>
      <c r="AX234">
        <v>12.9</v>
      </c>
    </row>
    <row r="235" spans="12:50" x14ac:dyDescent="0.15">
      <c r="L235" s="37">
        <v>231</v>
      </c>
      <c r="M235">
        <v>2016.01</v>
      </c>
      <c r="N235" s="26">
        <v>270715</v>
      </c>
      <c r="O235" s="26">
        <v>1</v>
      </c>
      <c r="P235" s="26">
        <v>191</v>
      </c>
      <c r="Q235" s="26">
        <v>20.6</v>
      </c>
      <c r="R235" s="26">
        <v>4.8899999999999997</v>
      </c>
      <c r="S235" s="26">
        <v>3.37</v>
      </c>
      <c r="T235" s="26">
        <v>9.2100000000000009</v>
      </c>
      <c r="U235" s="33">
        <v>6.8</v>
      </c>
      <c r="V235" s="26"/>
      <c r="W235" s="26"/>
      <c r="X235" s="26"/>
      <c r="Y235" s="26"/>
      <c r="Z235" s="26"/>
      <c r="AA235" s="26"/>
      <c r="AB235" s="26"/>
      <c r="AC235" s="26"/>
      <c r="AD235" s="26"/>
      <c r="AF235" s="37">
        <v>231</v>
      </c>
      <c r="AG235"/>
      <c r="AH235"/>
      <c r="AI235"/>
      <c r="AJ235"/>
      <c r="AK235"/>
      <c r="AL235"/>
      <c r="AM235"/>
      <c r="AN235"/>
      <c r="AO235"/>
      <c r="AP235" s="24">
        <v>2019.02</v>
      </c>
      <c r="AQ235">
        <v>301102</v>
      </c>
      <c r="AR235">
        <v>3</v>
      </c>
      <c r="AS235">
        <v>107</v>
      </c>
      <c r="AT235">
        <v>44.8</v>
      </c>
      <c r="AU235">
        <v>4.1100000000000003</v>
      </c>
      <c r="AV235">
        <v>3.06</v>
      </c>
      <c r="AW235">
        <v>8.51</v>
      </c>
      <c r="AX235">
        <v>10.5</v>
      </c>
    </row>
    <row r="236" spans="12:50" x14ac:dyDescent="0.15">
      <c r="L236" s="37">
        <v>232</v>
      </c>
      <c r="M236">
        <v>2016.01</v>
      </c>
      <c r="N236" s="26">
        <v>270713</v>
      </c>
      <c r="O236" s="26">
        <v>1</v>
      </c>
      <c r="P236" s="26">
        <v>193</v>
      </c>
      <c r="Q236" s="26">
        <v>27.6</v>
      </c>
      <c r="R236" s="26">
        <v>4.08</v>
      </c>
      <c r="S236" s="26">
        <v>3.55</v>
      </c>
      <c r="T236" s="26">
        <v>9.01</v>
      </c>
      <c r="U236" s="33">
        <v>8.8000000000000007</v>
      </c>
      <c r="V236" s="26"/>
      <c r="W236" s="26"/>
      <c r="X236" s="26"/>
      <c r="Y236" s="26"/>
      <c r="Z236" s="26"/>
      <c r="AA236" s="26"/>
      <c r="AB236" s="26"/>
      <c r="AC236" s="26"/>
      <c r="AD236" s="26"/>
      <c r="AF236" s="37">
        <v>232</v>
      </c>
      <c r="AG236"/>
      <c r="AH236"/>
      <c r="AI236"/>
      <c r="AJ236"/>
      <c r="AK236"/>
      <c r="AL236"/>
      <c r="AM236"/>
      <c r="AN236"/>
      <c r="AO236"/>
      <c r="AP236" s="24">
        <v>2019.02</v>
      </c>
      <c r="AQ236">
        <v>301024</v>
      </c>
      <c r="AR236">
        <v>3</v>
      </c>
      <c r="AS236">
        <v>116</v>
      </c>
      <c r="AT236">
        <v>38.200000000000003</v>
      </c>
      <c r="AU236">
        <v>4.03</v>
      </c>
      <c r="AV236">
        <v>3.4</v>
      </c>
      <c r="AW236">
        <v>8.91</v>
      </c>
      <c r="AX236">
        <v>8.4</v>
      </c>
    </row>
    <row r="237" spans="12:50" x14ac:dyDescent="0.15">
      <c r="L237" s="37">
        <v>233</v>
      </c>
      <c r="M237">
        <v>2016.01</v>
      </c>
      <c r="N237" s="26">
        <v>270712</v>
      </c>
      <c r="O237" s="26">
        <v>1</v>
      </c>
      <c r="P237" s="26">
        <v>194</v>
      </c>
      <c r="Q237" s="26">
        <v>26.6</v>
      </c>
      <c r="R237" s="26">
        <v>4.1100000000000003</v>
      </c>
      <c r="S237" s="26">
        <v>3.78</v>
      </c>
      <c r="T237" s="26">
        <v>9.09</v>
      </c>
      <c r="U237" s="33">
        <v>7</v>
      </c>
      <c r="V237" s="26"/>
      <c r="W237" s="26"/>
      <c r="X237" s="26"/>
      <c r="Y237" s="26"/>
      <c r="Z237" s="26"/>
      <c r="AA237" s="26"/>
      <c r="AB237" s="26"/>
      <c r="AC237" s="26"/>
      <c r="AD237" s="26"/>
      <c r="AF237" s="37">
        <v>233</v>
      </c>
      <c r="AG237"/>
      <c r="AH237"/>
      <c r="AI237"/>
      <c r="AJ237"/>
      <c r="AK237"/>
      <c r="AL237"/>
      <c r="AM237"/>
      <c r="AN237"/>
      <c r="AO237"/>
      <c r="AP237" s="24">
        <v>2019.02</v>
      </c>
      <c r="AQ237">
        <v>301024</v>
      </c>
      <c r="AR237">
        <v>3</v>
      </c>
      <c r="AS237">
        <v>116</v>
      </c>
      <c r="AT237">
        <v>30</v>
      </c>
      <c r="AU237">
        <v>4.21</v>
      </c>
      <c r="AV237">
        <v>3.14</v>
      </c>
      <c r="AW237">
        <v>8.57</v>
      </c>
      <c r="AX237">
        <v>5.7</v>
      </c>
    </row>
    <row r="238" spans="12:50" x14ac:dyDescent="0.15">
      <c r="L238" s="37">
        <v>234</v>
      </c>
      <c r="M238">
        <v>2016.01</v>
      </c>
      <c r="N238" s="26">
        <v>270707</v>
      </c>
      <c r="O238" s="26">
        <v>1</v>
      </c>
      <c r="P238" s="26">
        <v>199</v>
      </c>
      <c r="Q238" s="26">
        <v>24.1</v>
      </c>
      <c r="R238" s="26">
        <v>5.03</v>
      </c>
      <c r="S238" s="26">
        <v>4.05</v>
      </c>
      <c r="T238" s="26">
        <v>9.64</v>
      </c>
      <c r="U238" s="33">
        <v>7.2</v>
      </c>
      <c r="V238" s="26"/>
      <c r="W238" s="26"/>
      <c r="X238" s="26"/>
      <c r="Y238" s="26"/>
      <c r="Z238" s="26"/>
      <c r="AA238" s="26"/>
      <c r="AB238" s="26"/>
      <c r="AC238" s="26"/>
      <c r="AD238" s="26"/>
      <c r="AF238" s="37">
        <v>234</v>
      </c>
      <c r="AG238"/>
      <c r="AH238"/>
      <c r="AI238"/>
      <c r="AJ238"/>
      <c r="AK238"/>
      <c r="AL238"/>
      <c r="AM238"/>
      <c r="AN238"/>
      <c r="AO238"/>
      <c r="AP238" s="24">
        <v>2019.02</v>
      </c>
      <c r="AQ238">
        <v>301019</v>
      </c>
      <c r="AR238">
        <v>3</v>
      </c>
      <c r="AS238">
        <v>121</v>
      </c>
      <c r="AT238">
        <v>41.2</v>
      </c>
      <c r="AU238">
        <v>4.41</v>
      </c>
      <c r="AV238">
        <v>3.33</v>
      </c>
      <c r="AW238">
        <v>8.89</v>
      </c>
      <c r="AX238">
        <v>8.5</v>
      </c>
    </row>
    <row r="239" spans="12:50" x14ac:dyDescent="0.15">
      <c r="L239" s="37">
        <v>235</v>
      </c>
      <c r="M239">
        <v>2016.01</v>
      </c>
      <c r="N239" s="26">
        <v>270705</v>
      </c>
      <c r="O239" s="26">
        <v>1</v>
      </c>
      <c r="P239" s="26">
        <v>201</v>
      </c>
      <c r="Q239" s="26">
        <v>29.7</v>
      </c>
      <c r="R239" s="26">
        <v>3.25</v>
      </c>
      <c r="S239" s="26">
        <v>3.06</v>
      </c>
      <c r="T239" s="26">
        <v>8.2899999999999991</v>
      </c>
      <c r="U239" s="33">
        <v>8.3000000000000007</v>
      </c>
      <c r="V239" s="26"/>
      <c r="W239" s="26"/>
      <c r="X239" s="26"/>
      <c r="Y239" s="26"/>
      <c r="Z239" s="26"/>
      <c r="AA239" s="26"/>
      <c r="AB239" s="26"/>
      <c r="AC239" s="26"/>
      <c r="AD239" s="26"/>
      <c r="AF239" s="37">
        <v>235</v>
      </c>
      <c r="AG239"/>
      <c r="AH239"/>
      <c r="AI239"/>
      <c r="AJ239"/>
      <c r="AK239"/>
      <c r="AL239"/>
      <c r="AM239"/>
      <c r="AN239"/>
      <c r="AO239"/>
      <c r="AP239" s="24">
        <v>2019.02</v>
      </c>
      <c r="AQ239">
        <v>301018</v>
      </c>
      <c r="AR239">
        <v>3</v>
      </c>
      <c r="AS239">
        <v>122</v>
      </c>
      <c r="AT239">
        <v>46</v>
      </c>
      <c r="AU239">
        <v>3.65</v>
      </c>
      <c r="AV239">
        <v>2.79</v>
      </c>
      <c r="AW239">
        <v>8.5399999999999991</v>
      </c>
      <c r="AX239">
        <v>9.6</v>
      </c>
    </row>
    <row r="240" spans="12:50" x14ac:dyDescent="0.15">
      <c r="L240" s="37">
        <v>236</v>
      </c>
      <c r="M240">
        <v>2016.01</v>
      </c>
      <c r="N240" s="26">
        <v>270705</v>
      </c>
      <c r="O240" s="26">
        <v>1</v>
      </c>
      <c r="P240" s="26">
        <v>201</v>
      </c>
      <c r="Q240" s="26">
        <v>26.8</v>
      </c>
      <c r="R240" s="26">
        <v>4.4800000000000004</v>
      </c>
      <c r="S240" s="26">
        <v>4.0599999999999996</v>
      </c>
      <c r="T240" s="26">
        <v>9.59</v>
      </c>
      <c r="U240" s="33">
        <v>7.8</v>
      </c>
      <c r="V240" s="26"/>
      <c r="W240" s="26"/>
      <c r="X240" s="26"/>
      <c r="Y240" s="26"/>
      <c r="Z240" s="26"/>
      <c r="AA240" s="26"/>
      <c r="AB240" s="26"/>
      <c r="AC240" s="26"/>
      <c r="AD240" s="26"/>
      <c r="AF240" s="37">
        <v>236</v>
      </c>
      <c r="AG240"/>
      <c r="AH240"/>
      <c r="AI240"/>
      <c r="AJ240"/>
      <c r="AK240"/>
      <c r="AL240"/>
      <c r="AM240"/>
      <c r="AN240"/>
      <c r="AO240"/>
      <c r="AP240" s="24">
        <v>2019.02</v>
      </c>
      <c r="AQ240">
        <v>301010</v>
      </c>
      <c r="AR240">
        <v>3</v>
      </c>
      <c r="AS240">
        <v>130</v>
      </c>
      <c r="AT240">
        <v>38</v>
      </c>
      <c r="AU240">
        <v>4.76</v>
      </c>
      <c r="AV240">
        <v>3.66</v>
      </c>
      <c r="AW240">
        <v>9.31</v>
      </c>
      <c r="AX240">
        <v>11.9</v>
      </c>
    </row>
    <row r="241" spans="12:50" x14ac:dyDescent="0.15">
      <c r="L241" s="37">
        <v>237</v>
      </c>
      <c r="M241">
        <v>2016.01</v>
      </c>
      <c r="N241" s="26">
        <v>270703</v>
      </c>
      <c r="O241" s="26">
        <v>1</v>
      </c>
      <c r="P241" s="26">
        <v>203</v>
      </c>
      <c r="Q241" s="26">
        <v>39.299999999999997</v>
      </c>
      <c r="R241" s="26">
        <v>4.2300000000000004</v>
      </c>
      <c r="S241" s="26">
        <v>3.3</v>
      </c>
      <c r="T241" s="26">
        <v>8.85</v>
      </c>
      <c r="U241" s="33">
        <v>10.9</v>
      </c>
      <c r="V241" s="26"/>
      <c r="W241" s="26"/>
      <c r="X241" s="26"/>
      <c r="Y241" s="26"/>
      <c r="Z241" s="26"/>
      <c r="AA241" s="26"/>
      <c r="AB241" s="26"/>
      <c r="AC241" s="26"/>
      <c r="AD241" s="26"/>
      <c r="AF241" s="37">
        <v>237</v>
      </c>
      <c r="AG241"/>
      <c r="AH241"/>
      <c r="AI241"/>
      <c r="AJ241"/>
      <c r="AK241"/>
      <c r="AL241"/>
      <c r="AM241"/>
      <c r="AN241"/>
      <c r="AO241"/>
      <c r="AP241" s="24">
        <v>2019.02</v>
      </c>
      <c r="AQ241">
        <v>300907</v>
      </c>
      <c r="AR241">
        <v>3</v>
      </c>
      <c r="AS241">
        <v>163</v>
      </c>
      <c r="AT241">
        <v>41.6</v>
      </c>
      <c r="AU241">
        <v>4.26</v>
      </c>
      <c r="AV241">
        <v>2.76</v>
      </c>
      <c r="AW241">
        <v>8.02</v>
      </c>
      <c r="AX241">
        <v>10.7</v>
      </c>
    </row>
    <row r="242" spans="12:50" x14ac:dyDescent="0.15">
      <c r="L242" s="37">
        <v>238</v>
      </c>
      <c r="M242">
        <v>2016.01</v>
      </c>
      <c r="N242" s="26">
        <v>270702</v>
      </c>
      <c r="O242" s="26">
        <v>1</v>
      </c>
      <c r="P242" s="26">
        <v>204</v>
      </c>
      <c r="Q242" s="26">
        <v>36</v>
      </c>
      <c r="R242" s="26">
        <v>4.47</v>
      </c>
      <c r="S242" s="26">
        <v>3.63</v>
      </c>
      <c r="T242" s="26">
        <v>9.58</v>
      </c>
      <c r="U242" s="33">
        <v>9.6</v>
      </c>
      <c r="V242" s="26"/>
      <c r="W242" s="26"/>
      <c r="X242" s="26"/>
      <c r="Y242" s="26"/>
      <c r="Z242" s="26"/>
      <c r="AA242" s="26"/>
      <c r="AB242" s="26"/>
      <c r="AC242" s="26"/>
      <c r="AD242" s="26"/>
      <c r="AF242" s="37">
        <v>238</v>
      </c>
      <c r="AG242"/>
      <c r="AH242"/>
      <c r="AI242"/>
      <c r="AJ242"/>
      <c r="AK242"/>
      <c r="AL242"/>
      <c r="AM242"/>
      <c r="AN242"/>
      <c r="AO242"/>
      <c r="AP242" s="24">
        <v>2019.02</v>
      </c>
      <c r="AQ242">
        <v>300906</v>
      </c>
      <c r="AR242">
        <v>3</v>
      </c>
      <c r="AS242">
        <v>164</v>
      </c>
      <c r="AT242">
        <v>32.4</v>
      </c>
      <c r="AU242">
        <v>3.49</v>
      </c>
      <c r="AV242">
        <v>3.3</v>
      </c>
      <c r="AW242">
        <v>8.1999999999999993</v>
      </c>
      <c r="AX242">
        <v>8</v>
      </c>
    </row>
    <row r="243" spans="12:50" x14ac:dyDescent="0.15">
      <c r="L243" s="37">
        <v>239</v>
      </c>
      <c r="M243">
        <v>2016.01</v>
      </c>
      <c r="N243" s="26">
        <v>270628</v>
      </c>
      <c r="O243" s="26">
        <v>1</v>
      </c>
      <c r="P243" s="26">
        <v>208</v>
      </c>
      <c r="Q243" s="26">
        <v>27</v>
      </c>
      <c r="R243" s="26">
        <v>4.3</v>
      </c>
      <c r="S243" s="26">
        <v>3.77</v>
      </c>
      <c r="T243" s="26">
        <v>9.11</v>
      </c>
      <c r="U243" s="33">
        <v>6.7</v>
      </c>
      <c r="V243" s="26"/>
      <c r="W243" s="26"/>
      <c r="X243" s="26"/>
      <c r="Y243" s="26"/>
      <c r="Z243" s="26"/>
      <c r="AA243" s="26"/>
      <c r="AB243" s="26"/>
      <c r="AC243" s="26"/>
      <c r="AD243" s="26"/>
      <c r="AF243" s="37">
        <v>239</v>
      </c>
      <c r="AG243"/>
      <c r="AH243"/>
      <c r="AI243"/>
      <c r="AJ243"/>
      <c r="AK243"/>
      <c r="AL243"/>
      <c r="AM243"/>
      <c r="AN243"/>
      <c r="AO243"/>
      <c r="AP243" s="24">
        <v>2019.02</v>
      </c>
      <c r="AQ243">
        <v>300817</v>
      </c>
      <c r="AR243">
        <v>3</v>
      </c>
      <c r="AS243">
        <v>184</v>
      </c>
      <c r="AT243">
        <v>41.5</v>
      </c>
      <c r="AU243">
        <v>4.92</v>
      </c>
      <c r="AV243">
        <v>3.52</v>
      </c>
      <c r="AW243">
        <v>8.76</v>
      </c>
      <c r="AX243">
        <v>7</v>
      </c>
    </row>
    <row r="244" spans="12:50" x14ac:dyDescent="0.15">
      <c r="L244" s="37">
        <v>240</v>
      </c>
      <c r="M244">
        <v>2016.01</v>
      </c>
      <c r="N244" s="26">
        <v>270624</v>
      </c>
      <c r="O244" s="26">
        <v>1</v>
      </c>
      <c r="P244" s="26">
        <v>212</v>
      </c>
      <c r="Q244" s="26">
        <v>31.7</v>
      </c>
      <c r="R244" s="26">
        <v>4.03</v>
      </c>
      <c r="S244" s="26">
        <v>3.42</v>
      </c>
      <c r="T244" s="26">
        <v>8.99</v>
      </c>
      <c r="U244" s="33">
        <v>8.3000000000000007</v>
      </c>
      <c r="V244" s="26"/>
      <c r="W244" s="26"/>
      <c r="X244" s="26"/>
      <c r="Y244" s="26"/>
      <c r="Z244" s="26"/>
      <c r="AA244" s="26"/>
      <c r="AB244" s="26"/>
      <c r="AC244" s="26"/>
      <c r="AD244" s="26"/>
      <c r="AF244" s="37">
        <v>240</v>
      </c>
      <c r="AG244"/>
      <c r="AH244"/>
      <c r="AI244"/>
      <c r="AJ244"/>
      <c r="AK244"/>
      <c r="AL244"/>
      <c r="AM244"/>
      <c r="AN244"/>
      <c r="AO244"/>
      <c r="AP244" s="24">
        <v>2019.02</v>
      </c>
      <c r="AQ244">
        <v>300810</v>
      </c>
      <c r="AR244">
        <v>3</v>
      </c>
      <c r="AS244">
        <v>191</v>
      </c>
      <c r="AT244">
        <v>39.1</v>
      </c>
      <c r="AU244">
        <v>4.25</v>
      </c>
      <c r="AV244">
        <v>3.39</v>
      </c>
      <c r="AW244">
        <v>8.89</v>
      </c>
      <c r="AX244">
        <v>9.1</v>
      </c>
    </row>
    <row r="245" spans="12:50" x14ac:dyDescent="0.15">
      <c r="L245" s="37">
        <v>241</v>
      </c>
      <c r="M245">
        <v>2016.01</v>
      </c>
      <c r="N245" s="26">
        <v>270624</v>
      </c>
      <c r="O245" s="26">
        <v>1</v>
      </c>
      <c r="P245" s="26">
        <v>212</v>
      </c>
      <c r="Q245" s="26">
        <v>32.799999999999997</v>
      </c>
      <c r="R245" s="26">
        <v>3.08</v>
      </c>
      <c r="S245" s="26">
        <v>3.54</v>
      </c>
      <c r="T245" s="26">
        <v>9.26</v>
      </c>
      <c r="U245" s="33">
        <v>8.3000000000000007</v>
      </c>
      <c r="V245" s="26"/>
      <c r="W245" s="26"/>
      <c r="X245" s="26"/>
      <c r="Y245" s="26"/>
      <c r="Z245" s="26"/>
      <c r="AA245" s="26"/>
      <c r="AB245" s="26"/>
      <c r="AC245" s="26"/>
      <c r="AD245" s="26"/>
      <c r="AF245" s="37">
        <v>241</v>
      </c>
      <c r="AG245"/>
      <c r="AH245"/>
      <c r="AI245"/>
      <c r="AJ245"/>
      <c r="AK245"/>
      <c r="AL245"/>
      <c r="AM245"/>
      <c r="AN245"/>
      <c r="AO245"/>
      <c r="AP245" s="24">
        <v>2019.02</v>
      </c>
      <c r="AQ245">
        <v>300808</v>
      </c>
      <c r="AR245">
        <v>3</v>
      </c>
      <c r="AS245">
        <v>193</v>
      </c>
      <c r="AT245">
        <v>36.9</v>
      </c>
      <c r="AU245">
        <v>4.51</v>
      </c>
      <c r="AV245">
        <v>3.29</v>
      </c>
      <c r="AW245">
        <v>8.7100000000000009</v>
      </c>
      <c r="AX245">
        <v>8.1</v>
      </c>
    </row>
    <row r="246" spans="12:50" x14ac:dyDescent="0.15">
      <c r="L246" s="37">
        <v>242</v>
      </c>
      <c r="M246">
        <v>2016.01</v>
      </c>
      <c r="N246" s="26">
        <v>270624</v>
      </c>
      <c r="O246" s="26">
        <v>1</v>
      </c>
      <c r="P246" s="26">
        <v>212</v>
      </c>
      <c r="Q246" s="26">
        <v>31.2</v>
      </c>
      <c r="R246" s="26">
        <v>3.46</v>
      </c>
      <c r="S246" s="26">
        <v>3.28</v>
      </c>
      <c r="T246" s="26">
        <v>8.84</v>
      </c>
      <c r="U246" s="33">
        <v>6.8</v>
      </c>
      <c r="V246" s="26"/>
      <c r="W246" s="26"/>
      <c r="X246" s="26"/>
      <c r="Y246" s="26"/>
      <c r="Z246" s="26"/>
      <c r="AA246" s="26"/>
      <c r="AB246" s="26"/>
      <c r="AC246" s="26"/>
      <c r="AD246" s="26"/>
      <c r="AF246" s="37">
        <v>242</v>
      </c>
      <c r="AG246"/>
      <c r="AH246"/>
      <c r="AI246"/>
      <c r="AJ246"/>
      <c r="AK246"/>
      <c r="AL246"/>
      <c r="AM246"/>
      <c r="AN246"/>
      <c r="AO246"/>
      <c r="AP246" s="24">
        <v>2019.02</v>
      </c>
      <c r="AQ246">
        <v>300719</v>
      </c>
      <c r="AR246">
        <v>3</v>
      </c>
      <c r="AS246">
        <v>213</v>
      </c>
      <c r="AT246">
        <v>34.6</v>
      </c>
      <c r="AU246">
        <v>3.54</v>
      </c>
      <c r="AV246">
        <v>3.2</v>
      </c>
      <c r="AW246">
        <v>8.36</v>
      </c>
      <c r="AX246">
        <v>6.8</v>
      </c>
    </row>
    <row r="247" spans="12:50" x14ac:dyDescent="0.15">
      <c r="L247" s="37">
        <v>243</v>
      </c>
      <c r="M247">
        <v>2016.01</v>
      </c>
      <c r="N247" s="26">
        <v>270622</v>
      </c>
      <c r="O247" s="26">
        <v>1</v>
      </c>
      <c r="P247" s="26">
        <v>214</v>
      </c>
      <c r="Q247" s="26">
        <v>31.3</v>
      </c>
      <c r="R247" s="26">
        <v>4.13</v>
      </c>
      <c r="S247" s="26">
        <v>3.53</v>
      </c>
      <c r="T247" s="26">
        <v>9.16</v>
      </c>
      <c r="U247" s="33">
        <v>10.1</v>
      </c>
      <c r="V247" s="26"/>
      <c r="W247" s="26"/>
      <c r="X247" s="26"/>
      <c r="Y247" s="26"/>
      <c r="Z247" s="26"/>
      <c r="AA247" s="26"/>
      <c r="AB247" s="26"/>
      <c r="AC247" s="26"/>
      <c r="AD247" s="26"/>
      <c r="AF247" s="37">
        <v>243</v>
      </c>
      <c r="AG247"/>
      <c r="AH247"/>
      <c r="AI247"/>
      <c r="AJ247"/>
      <c r="AK247"/>
      <c r="AL247"/>
      <c r="AM247"/>
      <c r="AN247"/>
      <c r="AO247"/>
      <c r="AP247" s="24">
        <v>2019.02</v>
      </c>
      <c r="AQ247">
        <v>300714</v>
      </c>
      <c r="AR247">
        <v>3</v>
      </c>
      <c r="AS247">
        <v>218</v>
      </c>
      <c r="AT247">
        <v>25.3</v>
      </c>
      <c r="AU247">
        <v>4.16</v>
      </c>
      <c r="AV247">
        <v>3.51</v>
      </c>
      <c r="AW247">
        <v>9.0299999999999994</v>
      </c>
      <c r="AX247">
        <v>12.6</v>
      </c>
    </row>
    <row r="248" spans="12:50" x14ac:dyDescent="0.15">
      <c r="L248" s="37">
        <v>244</v>
      </c>
      <c r="M248">
        <v>2016.01</v>
      </c>
      <c r="N248" s="26">
        <v>270621</v>
      </c>
      <c r="O248" s="26">
        <v>1</v>
      </c>
      <c r="P248" s="26">
        <v>215</v>
      </c>
      <c r="Q248" s="26">
        <v>35.1</v>
      </c>
      <c r="R248" s="26">
        <v>4.76</v>
      </c>
      <c r="S248" s="26">
        <v>3.6</v>
      </c>
      <c r="T248" s="26">
        <v>9.25</v>
      </c>
      <c r="U248" s="33">
        <v>8.6999999999999993</v>
      </c>
      <c r="V248" s="26"/>
      <c r="W248" s="26"/>
      <c r="X248" s="26"/>
      <c r="Y248" s="26"/>
      <c r="Z248" s="26"/>
      <c r="AA248" s="26"/>
      <c r="AB248" s="26"/>
      <c r="AC248" s="26"/>
      <c r="AD248" s="26"/>
      <c r="AF248" s="37">
        <v>244</v>
      </c>
      <c r="AG248"/>
      <c r="AH248"/>
      <c r="AI248"/>
      <c r="AJ248"/>
      <c r="AK248"/>
      <c r="AL248"/>
      <c r="AM248"/>
      <c r="AN248"/>
      <c r="AO248"/>
      <c r="AP248" s="24">
        <v>2019.03</v>
      </c>
      <c r="AQ248">
        <v>301203</v>
      </c>
      <c r="AR248">
        <v>3</v>
      </c>
      <c r="AS248">
        <v>104</v>
      </c>
      <c r="AT248">
        <v>34.200000000000003</v>
      </c>
      <c r="AU248">
        <v>5.23</v>
      </c>
      <c r="AV248">
        <v>2.99</v>
      </c>
      <c r="AW248">
        <v>8.56</v>
      </c>
      <c r="AX248">
        <v>9.6</v>
      </c>
    </row>
    <row r="249" spans="12:50" x14ac:dyDescent="0.15">
      <c r="L249" s="37">
        <v>245</v>
      </c>
      <c r="M249">
        <v>2016.01</v>
      </c>
      <c r="N249" s="26">
        <v>270616</v>
      </c>
      <c r="O249" s="26">
        <v>1</v>
      </c>
      <c r="P249" s="26">
        <v>220</v>
      </c>
      <c r="Q249" s="26">
        <v>32.700000000000003</v>
      </c>
      <c r="R249" s="26">
        <v>4.32</v>
      </c>
      <c r="S249" s="26">
        <v>3.63</v>
      </c>
      <c r="T249" s="26">
        <v>9.09</v>
      </c>
      <c r="U249" s="33">
        <v>6.4</v>
      </c>
      <c r="V249" s="26"/>
      <c r="W249" s="26"/>
      <c r="X249" s="26"/>
      <c r="Y249" s="26"/>
      <c r="Z249" s="26"/>
      <c r="AA249" s="26"/>
      <c r="AB249" s="26"/>
      <c r="AC249" s="26"/>
      <c r="AD249" s="26"/>
      <c r="AF249" s="37">
        <v>245</v>
      </c>
      <c r="AG249"/>
      <c r="AH249"/>
      <c r="AI249"/>
      <c r="AJ249"/>
      <c r="AK249"/>
      <c r="AL249"/>
      <c r="AM249"/>
      <c r="AN249"/>
      <c r="AO249"/>
      <c r="AP249" s="24">
        <v>2019.03</v>
      </c>
      <c r="AQ249">
        <v>301129</v>
      </c>
      <c r="AR249">
        <v>3</v>
      </c>
      <c r="AS249">
        <v>108</v>
      </c>
      <c r="AT249">
        <v>45.3</v>
      </c>
      <c r="AU249">
        <v>3.87</v>
      </c>
      <c r="AV249">
        <v>2.73</v>
      </c>
      <c r="AW249">
        <v>8.15</v>
      </c>
      <c r="AX249">
        <v>11.4</v>
      </c>
    </row>
    <row r="250" spans="12:50" x14ac:dyDescent="0.15">
      <c r="L250" s="37">
        <v>246</v>
      </c>
      <c r="M250">
        <v>2016.01</v>
      </c>
      <c r="N250" s="26">
        <v>270614</v>
      </c>
      <c r="O250" s="26">
        <v>1</v>
      </c>
      <c r="P250" s="26">
        <v>222</v>
      </c>
      <c r="Q250" s="26">
        <v>30.5</v>
      </c>
      <c r="R250" s="26">
        <v>3.65</v>
      </c>
      <c r="S250" s="26">
        <v>3.26</v>
      </c>
      <c r="T250" s="26">
        <v>8.91</v>
      </c>
      <c r="U250" s="33">
        <v>9.6</v>
      </c>
      <c r="V250" s="26"/>
      <c r="W250" s="26"/>
      <c r="X250" s="26"/>
      <c r="Y250" s="26"/>
      <c r="Z250" s="26"/>
      <c r="AA250" s="26"/>
      <c r="AB250" s="26"/>
      <c r="AC250" s="26"/>
      <c r="AD250" s="26"/>
      <c r="AF250" s="37">
        <v>246</v>
      </c>
      <c r="AG250"/>
      <c r="AH250"/>
      <c r="AI250"/>
      <c r="AJ250"/>
      <c r="AK250"/>
      <c r="AL250"/>
      <c r="AM250"/>
      <c r="AN250"/>
      <c r="AO250"/>
      <c r="AP250" s="24">
        <v>2019.03</v>
      </c>
      <c r="AQ250">
        <v>301123</v>
      </c>
      <c r="AR250">
        <v>3</v>
      </c>
      <c r="AS250">
        <v>114</v>
      </c>
      <c r="AT250">
        <v>44.4</v>
      </c>
      <c r="AU250">
        <v>5.23</v>
      </c>
      <c r="AV250">
        <v>2.81</v>
      </c>
      <c r="AW250">
        <v>8.1300000000000008</v>
      </c>
      <c r="AX250">
        <v>10.3</v>
      </c>
    </row>
    <row r="251" spans="12:50" x14ac:dyDescent="0.15">
      <c r="L251" s="37">
        <v>247</v>
      </c>
      <c r="M251">
        <v>2016.01</v>
      </c>
      <c r="N251" s="26">
        <v>270613</v>
      </c>
      <c r="O251" s="26">
        <v>1</v>
      </c>
      <c r="P251" s="26">
        <v>223</v>
      </c>
      <c r="Q251" s="26">
        <v>17.3</v>
      </c>
      <c r="R251" s="26">
        <v>4.29</v>
      </c>
      <c r="S251" s="26">
        <v>3.32</v>
      </c>
      <c r="T251" s="26">
        <v>8.6999999999999993</v>
      </c>
      <c r="U251" s="33">
        <v>6</v>
      </c>
      <c r="V251" s="26"/>
      <c r="W251" s="26"/>
      <c r="X251" s="26"/>
      <c r="Y251" s="26"/>
      <c r="Z251" s="26"/>
      <c r="AA251" s="26"/>
      <c r="AB251" s="26"/>
      <c r="AC251" s="26"/>
      <c r="AD251" s="26"/>
      <c r="AF251" s="37">
        <v>247</v>
      </c>
      <c r="AG251"/>
      <c r="AH251"/>
      <c r="AI251"/>
      <c r="AJ251"/>
      <c r="AK251"/>
      <c r="AL251"/>
      <c r="AM251"/>
      <c r="AN251"/>
      <c r="AO251"/>
      <c r="AP251" s="24">
        <v>2019.03</v>
      </c>
      <c r="AQ251">
        <v>301103</v>
      </c>
      <c r="AR251">
        <v>3</v>
      </c>
      <c r="AS251">
        <v>134</v>
      </c>
      <c r="AT251">
        <v>41</v>
      </c>
      <c r="AU251">
        <v>4.1500000000000004</v>
      </c>
      <c r="AV251">
        <v>2.9</v>
      </c>
      <c r="AW251">
        <v>8.27</v>
      </c>
      <c r="AX251">
        <v>9.1</v>
      </c>
    </row>
    <row r="252" spans="12:50" x14ac:dyDescent="0.15">
      <c r="L252" s="37">
        <v>248</v>
      </c>
      <c r="M252">
        <v>2016.01</v>
      </c>
      <c r="N252" s="26">
        <v>270611</v>
      </c>
      <c r="O252" s="26">
        <v>1</v>
      </c>
      <c r="P252" s="26">
        <v>225</v>
      </c>
      <c r="Q252" s="26">
        <v>27.8</v>
      </c>
      <c r="R252" s="26">
        <v>3.82</v>
      </c>
      <c r="S252" s="26">
        <v>3.29</v>
      </c>
      <c r="T252" s="26">
        <v>8.48</v>
      </c>
      <c r="U252" s="33">
        <v>8.4</v>
      </c>
      <c r="V252" s="26"/>
      <c r="W252" s="26"/>
      <c r="X252" s="26"/>
      <c r="Y252" s="26"/>
      <c r="Z252" s="26"/>
      <c r="AA252" s="26"/>
      <c r="AB252" s="26"/>
      <c r="AC252" s="26"/>
      <c r="AD252" s="26"/>
      <c r="AF252" s="37">
        <v>248</v>
      </c>
      <c r="AG252"/>
      <c r="AH252"/>
      <c r="AI252"/>
      <c r="AJ252"/>
      <c r="AK252"/>
      <c r="AL252"/>
      <c r="AM252"/>
      <c r="AN252"/>
      <c r="AO252"/>
      <c r="AP252" s="24">
        <v>2019.03</v>
      </c>
      <c r="AQ252">
        <v>301102</v>
      </c>
      <c r="AR252">
        <v>3</v>
      </c>
      <c r="AS252">
        <v>135</v>
      </c>
      <c r="AT252">
        <v>46.2</v>
      </c>
      <c r="AU252">
        <v>4.91</v>
      </c>
      <c r="AV252">
        <v>2.97</v>
      </c>
      <c r="AW252">
        <v>8.34</v>
      </c>
      <c r="AX252">
        <v>9.8000000000000007</v>
      </c>
    </row>
    <row r="253" spans="12:50" x14ac:dyDescent="0.15">
      <c r="L253" s="37">
        <v>249</v>
      </c>
      <c r="M253">
        <v>2016.01</v>
      </c>
      <c r="N253" s="26">
        <v>270610</v>
      </c>
      <c r="O253" s="26">
        <v>1</v>
      </c>
      <c r="P253" s="26">
        <v>226</v>
      </c>
      <c r="Q253" s="26">
        <v>32.200000000000003</v>
      </c>
      <c r="R253" s="26">
        <v>2.68</v>
      </c>
      <c r="S253" s="26">
        <v>3.16</v>
      </c>
      <c r="T253" s="26">
        <v>8.75</v>
      </c>
      <c r="U253" s="33">
        <v>9.6</v>
      </c>
      <c r="V253" s="26"/>
      <c r="W253" s="26"/>
      <c r="X253" s="26"/>
      <c r="Y253" s="26"/>
      <c r="Z253" s="26"/>
      <c r="AA253" s="26"/>
      <c r="AB253" s="26"/>
      <c r="AC253" s="26"/>
      <c r="AD253" s="26"/>
      <c r="AF253" s="37">
        <v>249</v>
      </c>
      <c r="AG253"/>
      <c r="AH253"/>
      <c r="AI253"/>
      <c r="AJ253"/>
      <c r="AK253"/>
      <c r="AL253"/>
      <c r="AM253"/>
      <c r="AN253"/>
      <c r="AO253"/>
      <c r="AP253" s="24">
        <v>2019.03</v>
      </c>
      <c r="AQ253">
        <v>301024</v>
      </c>
      <c r="AR253">
        <v>3</v>
      </c>
      <c r="AS253">
        <v>144</v>
      </c>
      <c r="AT253">
        <v>37.5</v>
      </c>
      <c r="AU253">
        <v>3.42</v>
      </c>
      <c r="AV253">
        <v>3.36</v>
      </c>
      <c r="AW253">
        <v>8.9</v>
      </c>
      <c r="AX253">
        <v>11.3</v>
      </c>
    </row>
    <row r="254" spans="12:50" x14ac:dyDescent="0.15">
      <c r="L254" s="37">
        <v>250</v>
      </c>
      <c r="M254">
        <v>2016.01</v>
      </c>
      <c r="N254" s="26">
        <v>270609</v>
      </c>
      <c r="O254" s="26">
        <v>1</v>
      </c>
      <c r="P254" s="26">
        <v>227</v>
      </c>
      <c r="Q254" s="26">
        <v>30.8</v>
      </c>
      <c r="R254" s="26">
        <v>3.47</v>
      </c>
      <c r="S254" s="26">
        <v>3.39</v>
      </c>
      <c r="T254" s="26">
        <v>8.9700000000000006</v>
      </c>
      <c r="U254" s="33">
        <v>12.6</v>
      </c>
      <c r="V254" s="26"/>
      <c r="W254" s="26"/>
      <c r="X254" s="26"/>
      <c r="Y254" s="26"/>
      <c r="Z254" s="26"/>
      <c r="AA254" s="26"/>
      <c r="AB254" s="26"/>
      <c r="AC254" s="26"/>
      <c r="AD254" s="26"/>
      <c r="AF254" s="37">
        <v>250</v>
      </c>
      <c r="AG254"/>
      <c r="AH254"/>
      <c r="AI254"/>
      <c r="AJ254"/>
      <c r="AK254"/>
      <c r="AL254"/>
      <c r="AM254"/>
      <c r="AN254"/>
      <c r="AO254"/>
      <c r="AP254" s="24">
        <v>2019.03</v>
      </c>
      <c r="AQ254">
        <v>301024</v>
      </c>
      <c r="AR254">
        <v>3</v>
      </c>
      <c r="AS254">
        <v>144</v>
      </c>
      <c r="AT254">
        <v>30</v>
      </c>
      <c r="AU254">
        <v>4.32</v>
      </c>
      <c r="AV254">
        <v>3.12</v>
      </c>
      <c r="AW254">
        <v>8.43</v>
      </c>
      <c r="AX254">
        <v>7.6</v>
      </c>
    </row>
    <row r="255" spans="12:50" x14ac:dyDescent="0.15">
      <c r="L255" s="37">
        <v>251</v>
      </c>
      <c r="M255">
        <v>2016.01</v>
      </c>
      <c r="N255" s="26">
        <v>270608</v>
      </c>
      <c r="O255" s="26">
        <v>1</v>
      </c>
      <c r="P255" s="26">
        <v>228</v>
      </c>
      <c r="Q255" s="26">
        <v>28.3</v>
      </c>
      <c r="R255" s="26">
        <v>4.03</v>
      </c>
      <c r="S255" s="26">
        <v>3.66</v>
      </c>
      <c r="T255" s="26">
        <v>9.1</v>
      </c>
      <c r="U255" s="33">
        <v>5.5</v>
      </c>
      <c r="V255" s="26"/>
      <c r="W255" s="26"/>
      <c r="X255" s="26"/>
      <c r="Y255" s="26"/>
      <c r="Z255" s="26"/>
      <c r="AA255" s="26"/>
      <c r="AB255" s="26"/>
      <c r="AC255" s="26"/>
      <c r="AD255" s="26"/>
      <c r="AF255" s="37">
        <v>251</v>
      </c>
      <c r="AG255"/>
      <c r="AH255"/>
      <c r="AI255"/>
      <c r="AJ255"/>
      <c r="AK255"/>
      <c r="AL255"/>
      <c r="AM255"/>
      <c r="AN255"/>
      <c r="AO255"/>
      <c r="AP255" s="24">
        <v>2019.03</v>
      </c>
      <c r="AQ255">
        <v>301019</v>
      </c>
      <c r="AR255">
        <v>3</v>
      </c>
      <c r="AS255">
        <v>149</v>
      </c>
      <c r="AT255">
        <v>33.799999999999997</v>
      </c>
      <c r="AU255">
        <v>3.74</v>
      </c>
      <c r="AV255">
        <v>3.22</v>
      </c>
      <c r="AW255">
        <v>8.82</v>
      </c>
      <c r="AX255">
        <v>8.5</v>
      </c>
    </row>
    <row r="256" spans="12:50" x14ac:dyDescent="0.15">
      <c r="L256" s="37">
        <v>252</v>
      </c>
      <c r="M256">
        <v>2016.01</v>
      </c>
      <c r="N256" s="26">
        <v>270608</v>
      </c>
      <c r="O256" s="26">
        <v>1</v>
      </c>
      <c r="P256" s="26">
        <v>228</v>
      </c>
      <c r="Q256" s="26">
        <v>21.8</v>
      </c>
      <c r="R256" s="26">
        <v>4.4000000000000004</v>
      </c>
      <c r="S256" s="26">
        <v>3.25</v>
      </c>
      <c r="T256" s="26">
        <v>8.5399999999999991</v>
      </c>
      <c r="U256" s="33">
        <v>6.2</v>
      </c>
      <c r="V256" s="26"/>
      <c r="W256" s="26"/>
      <c r="X256" s="26"/>
      <c r="Y256" s="26"/>
      <c r="Z256" s="26"/>
      <c r="AA256" s="26"/>
      <c r="AB256" s="26"/>
      <c r="AC256" s="26"/>
      <c r="AD256" s="26"/>
      <c r="AF256" s="37">
        <v>252</v>
      </c>
      <c r="AG256"/>
      <c r="AH256"/>
      <c r="AI256"/>
      <c r="AJ256"/>
      <c r="AK256"/>
      <c r="AL256"/>
      <c r="AM256"/>
      <c r="AN256"/>
      <c r="AO256"/>
      <c r="AP256" s="24">
        <v>2019.03</v>
      </c>
      <c r="AQ256">
        <v>301018</v>
      </c>
      <c r="AR256">
        <v>3</v>
      </c>
      <c r="AS256">
        <v>150</v>
      </c>
      <c r="AT256">
        <v>43.2</v>
      </c>
      <c r="AU256">
        <v>3.7</v>
      </c>
      <c r="AV256">
        <v>2.95</v>
      </c>
      <c r="AW256">
        <v>8.44</v>
      </c>
      <c r="AX256">
        <v>9.1999999999999993</v>
      </c>
    </row>
    <row r="257" spans="12:50" x14ac:dyDescent="0.15">
      <c r="L257" s="37">
        <v>253</v>
      </c>
      <c r="M257">
        <v>2016.01</v>
      </c>
      <c r="N257" s="26">
        <v>270605</v>
      </c>
      <c r="O257" s="26">
        <v>1</v>
      </c>
      <c r="P257" s="26">
        <v>231</v>
      </c>
      <c r="Q257" s="26">
        <v>29.7</v>
      </c>
      <c r="R257" s="26">
        <v>4.38</v>
      </c>
      <c r="S257" s="26">
        <v>3.58</v>
      </c>
      <c r="T257" s="26">
        <v>9.16</v>
      </c>
      <c r="U257" s="33">
        <v>8.6</v>
      </c>
      <c r="V257" s="26"/>
      <c r="W257" s="26"/>
      <c r="X257" s="26"/>
      <c r="Y257" s="26"/>
      <c r="Z257" s="26"/>
      <c r="AA257" s="26"/>
      <c r="AB257" s="26"/>
      <c r="AC257" s="26"/>
      <c r="AD257" s="26"/>
      <c r="AF257" s="37">
        <v>253</v>
      </c>
      <c r="AG257"/>
      <c r="AH257"/>
      <c r="AI257"/>
      <c r="AJ257"/>
      <c r="AK257"/>
      <c r="AL257"/>
      <c r="AM257"/>
      <c r="AN257"/>
      <c r="AO257"/>
      <c r="AP257" s="24">
        <v>2019.03</v>
      </c>
      <c r="AQ257">
        <v>301010</v>
      </c>
      <c r="AR257">
        <v>3</v>
      </c>
      <c r="AS257">
        <v>158</v>
      </c>
      <c r="AT257">
        <v>34.4</v>
      </c>
      <c r="AU257">
        <v>4.5199999999999996</v>
      </c>
      <c r="AV257">
        <v>3.58</v>
      </c>
      <c r="AW257">
        <v>9.35</v>
      </c>
      <c r="AX257">
        <v>11.2</v>
      </c>
    </row>
    <row r="258" spans="12:50" x14ac:dyDescent="0.15">
      <c r="L258" s="37">
        <v>254</v>
      </c>
      <c r="M258">
        <v>2016.01</v>
      </c>
      <c r="N258" s="26">
        <v>270516</v>
      </c>
      <c r="O258" s="26">
        <v>1</v>
      </c>
      <c r="P258" s="26">
        <v>251</v>
      </c>
      <c r="Q258" s="26">
        <v>21.8</v>
      </c>
      <c r="R258" s="26">
        <v>4.24</v>
      </c>
      <c r="S258" s="26">
        <v>3.4</v>
      </c>
      <c r="T258" s="26">
        <v>9.08</v>
      </c>
      <c r="U258" s="33">
        <v>11.5</v>
      </c>
      <c r="V258" s="26"/>
      <c r="W258" s="26"/>
      <c r="X258" s="26"/>
      <c r="Y258" s="26"/>
      <c r="Z258" s="26"/>
      <c r="AA258" s="26"/>
      <c r="AB258" s="26"/>
      <c r="AC258" s="26"/>
      <c r="AD258" s="26"/>
      <c r="AF258" s="37">
        <v>254</v>
      </c>
      <c r="AG258"/>
      <c r="AH258"/>
      <c r="AI258"/>
      <c r="AJ258"/>
      <c r="AK258"/>
      <c r="AL258"/>
      <c r="AM258"/>
      <c r="AN258"/>
      <c r="AO258"/>
      <c r="AP258" s="24">
        <v>2019.03</v>
      </c>
      <c r="AQ258">
        <v>300907</v>
      </c>
      <c r="AR258">
        <v>3</v>
      </c>
      <c r="AS258">
        <v>191</v>
      </c>
      <c r="AT258">
        <v>39.1</v>
      </c>
      <c r="AU258">
        <v>3.87</v>
      </c>
      <c r="AV258">
        <v>2.74</v>
      </c>
      <c r="AW258">
        <v>7.88</v>
      </c>
      <c r="AX258">
        <v>10.9</v>
      </c>
    </row>
    <row r="259" spans="12:50" x14ac:dyDescent="0.15">
      <c r="L259" s="37">
        <v>255</v>
      </c>
      <c r="M259">
        <v>2016.01</v>
      </c>
      <c r="N259" s="26">
        <v>270507</v>
      </c>
      <c r="O259" s="26">
        <v>1</v>
      </c>
      <c r="P259" s="26">
        <v>260</v>
      </c>
      <c r="Q259" s="26">
        <v>29.8</v>
      </c>
      <c r="R259" s="26">
        <v>3.58</v>
      </c>
      <c r="S259" s="26">
        <v>3.14</v>
      </c>
      <c r="T259" s="26">
        <v>8.6</v>
      </c>
      <c r="U259" s="33">
        <v>8.5</v>
      </c>
      <c r="V259" s="26"/>
      <c r="W259" s="26"/>
      <c r="X259" s="26"/>
      <c r="Y259" s="26"/>
      <c r="Z259" s="26"/>
      <c r="AA259" s="26"/>
      <c r="AB259" s="26"/>
      <c r="AC259" s="26"/>
      <c r="AD259" s="26"/>
      <c r="AF259" s="37">
        <v>255</v>
      </c>
      <c r="AG259"/>
      <c r="AH259"/>
      <c r="AI259"/>
      <c r="AJ259"/>
      <c r="AK259"/>
      <c r="AL259"/>
      <c r="AM259"/>
      <c r="AN259"/>
      <c r="AO259"/>
      <c r="AP259" s="24">
        <v>2019.03</v>
      </c>
      <c r="AQ259">
        <v>300906</v>
      </c>
      <c r="AR259">
        <v>3</v>
      </c>
      <c r="AS259">
        <v>192</v>
      </c>
      <c r="AT259">
        <v>26.3</v>
      </c>
      <c r="AU259">
        <v>3.82</v>
      </c>
      <c r="AV259">
        <v>3.27</v>
      </c>
      <c r="AW259">
        <v>8.1999999999999993</v>
      </c>
      <c r="AX259">
        <v>9</v>
      </c>
    </row>
    <row r="260" spans="12:50" x14ac:dyDescent="0.15">
      <c r="L260" s="37">
        <v>256</v>
      </c>
      <c r="M260">
        <v>2016.01</v>
      </c>
      <c r="N260" s="26">
        <v>270505</v>
      </c>
      <c r="O260" s="26">
        <v>1</v>
      </c>
      <c r="P260" s="26">
        <v>262</v>
      </c>
      <c r="Q260" s="26">
        <v>34.1</v>
      </c>
      <c r="R260" s="26">
        <v>3.67</v>
      </c>
      <c r="S260" s="26">
        <v>3.33</v>
      </c>
      <c r="T260" s="26">
        <v>8.86</v>
      </c>
      <c r="U260" s="33">
        <v>11.3</v>
      </c>
      <c r="V260" s="26"/>
      <c r="W260" s="26"/>
      <c r="X260" s="26"/>
      <c r="Y260" s="26"/>
      <c r="Z260" s="26"/>
      <c r="AA260" s="26"/>
      <c r="AB260" s="26"/>
      <c r="AC260" s="26"/>
      <c r="AD260" s="26"/>
      <c r="AF260" s="37">
        <v>256</v>
      </c>
      <c r="AG260"/>
      <c r="AH260"/>
      <c r="AI260"/>
      <c r="AJ260"/>
      <c r="AK260"/>
      <c r="AL260"/>
      <c r="AM260"/>
      <c r="AN260"/>
      <c r="AO260"/>
      <c r="AP260" s="24">
        <v>2019.03</v>
      </c>
      <c r="AQ260">
        <v>300817</v>
      </c>
      <c r="AR260">
        <v>3</v>
      </c>
      <c r="AS260">
        <v>212</v>
      </c>
      <c r="AT260">
        <v>39.700000000000003</v>
      </c>
      <c r="AU260">
        <v>4.8600000000000003</v>
      </c>
      <c r="AV260">
        <v>3.26</v>
      </c>
      <c r="AW260">
        <v>8.57</v>
      </c>
      <c r="AX260">
        <v>10.199999999999999</v>
      </c>
    </row>
    <row r="261" spans="12:50" x14ac:dyDescent="0.15">
      <c r="L261" s="37">
        <v>257</v>
      </c>
      <c r="M261">
        <v>2016.01</v>
      </c>
      <c r="N261" s="26">
        <v>270420</v>
      </c>
      <c r="O261" s="26">
        <v>1</v>
      </c>
      <c r="P261" s="26">
        <v>277</v>
      </c>
      <c r="Q261" s="26">
        <v>43.5</v>
      </c>
      <c r="R261" s="26">
        <v>2.97</v>
      </c>
      <c r="S261" s="26">
        <v>3.26</v>
      </c>
      <c r="T261" s="26">
        <v>9.0299999999999994</v>
      </c>
      <c r="U261" s="33">
        <v>9.3000000000000007</v>
      </c>
      <c r="V261" s="26"/>
      <c r="W261" s="26"/>
      <c r="X261" s="26"/>
      <c r="Y261" s="26"/>
      <c r="Z261" s="26"/>
      <c r="AA261" s="26"/>
      <c r="AB261" s="26"/>
      <c r="AC261" s="26"/>
      <c r="AD261" s="26"/>
      <c r="AF261" s="37">
        <v>257</v>
      </c>
      <c r="AG261"/>
      <c r="AH261"/>
      <c r="AI261"/>
      <c r="AJ261"/>
      <c r="AK261"/>
      <c r="AL261"/>
      <c r="AM261"/>
      <c r="AN261"/>
      <c r="AO261"/>
      <c r="AP261" s="24">
        <v>2019.03</v>
      </c>
      <c r="AQ261">
        <v>300810</v>
      </c>
      <c r="AR261">
        <v>3</v>
      </c>
      <c r="AS261">
        <v>219</v>
      </c>
      <c r="AT261">
        <v>35.6</v>
      </c>
      <c r="AU261">
        <v>4.3099999999999996</v>
      </c>
      <c r="AV261">
        <v>3.29</v>
      </c>
      <c r="AW261">
        <v>8.7100000000000009</v>
      </c>
      <c r="AX261">
        <v>10.4</v>
      </c>
    </row>
    <row r="262" spans="12:50" x14ac:dyDescent="0.15">
      <c r="L262" s="37">
        <v>258</v>
      </c>
      <c r="M262">
        <v>2016.01</v>
      </c>
      <c r="N262" s="26">
        <v>270419</v>
      </c>
      <c r="O262" s="26">
        <v>1</v>
      </c>
      <c r="P262" s="26">
        <v>278</v>
      </c>
      <c r="Q262" s="26">
        <v>18.899999999999999</v>
      </c>
      <c r="R262" s="26">
        <v>4.93</v>
      </c>
      <c r="S262" s="26">
        <v>4.1500000000000004</v>
      </c>
      <c r="T262" s="26">
        <v>9.4700000000000006</v>
      </c>
      <c r="U262" s="33">
        <v>6.6</v>
      </c>
      <c r="V262" s="26"/>
      <c r="W262" s="26"/>
      <c r="X262" s="26"/>
      <c r="Y262" s="26"/>
      <c r="Z262" s="26"/>
      <c r="AA262" s="26"/>
      <c r="AB262" s="26"/>
      <c r="AC262" s="26"/>
      <c r="AD262" s="26"/>
      <c r="AF262" s="37">
        <v>258</v>
      </c>
      <c r="AG262"/>
      <c r="AH262"/>
      <c r="AI262"/>
      <c r="AJ262"/>
      <c r="AK262"/>
      <c r="AL262"/>
      <c r="AM262"/>
      <c r="AN262"/>
      <c r="AO262"/>
      <c r="AP262" s="24">
        <v>2019.03</v>
      </c>
      <c r="AQ262">
        <v>300808</v>
      </c>
      <c r="AR262">
        <v>3</v>
      </c>
      <c r="AS262">
        <v>221</v>
      </c>
      <c r="AT262">
        <v>43.4</v>
      </c>
      <c r="AU262">
        <v>3.37</v>
      </c>
      <c r="AV262">
        <v>3.04</v>
      </c>
      <c r="AW262">
        <v>8.39</v>
      </c>
      <c r="AX262">
        <v>10.9</v>
      </c>
    </row>
    <row r="263" spans="12:50" x14ac:dyDescent="0.15">
      <c r="L263" s="37">
        <v>259</v>
      </c>
      <c r="M263">
        <v>2016.01</v>
      </c>
      <c r="N263" s="26">
        <v>270408</v>
      </c>
      <c r="O263" s="26">
        <v>1</v>
      </c>
      <c r="P263" s="26">
        <v>289</v>
      </c>
      <c r="Q263" s="26">
        <v>26</v>
      </c>
      <c r="R263" s="26">
        <v>4.04</v>
      </c>
      <c r="S263" s="26">
        <v>3.9</v>
      </c>
      <c r="T263" s="26">
        <v>9.3800000000000008</v>
      </c>
      <c r="U263" s="33">
        <v>9</v>
      </c>
      <c r="V263" s="26"/>
      <c r="W263" s="26"/>
      <c r="X263" s="26"/>
      <c r="Y263" s="26"/>
      <c r="Z263" s="26"/>
      <c r="AA263" s="26"/>
      <c r="AB263" s="26"/>
      <c r="AC263" s="26"/>
      <c r="AD263" s="26"/>
      <c r="AF263" s="37">
        <v>259</v>
      </c>
      <c r="AG263"/>
      <c r="AH263"/>
      <c r="AI263"/>
      <c r="AJ263"/>
      <c r="AK263"/>
      <c r="AL263"/>
      <c r="AM263"/>
      <c r="AN263"/>
      <c r="AO263"/>
      <c r="AP263" s="24">
        <v>2019.03</v>
      </c>
      <c r="AQ263">
        <v>300808</v>
      </c>
      <c r="AR263">
        <v>3</v>
      </c>
      <c r="AS263">
        <v>221</v>
      </c>
      <c r="AT263">
        <v>36.6</v>
      </c>
      <c r="AU263">
        <v>4.95</v>
      </c>
      <c r="AV263">
        <v>3.37</v>
      </c>
      <c r="AW263">
        <v>8.76</v>
      </c>
      <c r="AX263">
        <v>10.3</v>
      </c>
    </row>
    <row r="264" spans="12:50" x14ac:dyDescent="0.15">
      <c r="L264" s="37">
        <v>260</v>
      </c>
      <c r="M264">
        <v>2016.01</v>
      </c>
      <c r="N264" s="26">
        <v>270406</v>
      </c>
      <c r="O264" s="26">
        <v>1</v>
      </c>
      <c r="P264" s="26">
        <v>291</v>
      </c>
      <c r="Q264" s="26">
        <v>35</v>
      </c>
      <c r="R264" s="26">
        <v>4.07</v>
      </c>
      <c r="S264" s="26">
        <v>3.4</v>
      </c>
      <c r="T264" s="26">
        <v>8.82</v>
      </c>
      <c r="U264" s="33">
        <v>6.5</v>
      </c>
      <c r="V264" s="26"/>
      <c r="W264" s="26"/>
      <c r="X264" s="26"/>
      <c r="Y264" s="26"/>
      <c r="Z264" s="26"/>
      <c r="AA264" s="26"/>
      <c r="AB264" s="26"/>
      <c r="AC264" s="26"/>
      <c r="AD264" s="26"/>
      <c r="AF264" s="37">
        <v>260</v>
      </c>
      <c r="AG264"/>
      <c r="AH264"/>
      <c r="AI264"/>
      <c r="AJ264"/>
      <c r="AK264"/>
      <c r="AL264"/>
      <c r="AM264"/>
      <c r="AN264"/>
      <c r="AO264"/>
      <c r="AP264" s="24">
        <v>2019.03</v>
      </c>
      <c r="AQ264">
        <v>300719</v>
      </c>
      <c r="AR264">
        <v>3</v>
      </c>
      <c r="AS264">
        <v>241</v>
      </c>
      <c r="AT264">
        <v>33.4</v>
      </c>
      <c r="AU264">
        <v>3.47</v>
      </c>
      <c r="AV264">
        <v>3.23</v>
      </c>
      <c r="AW264">
        <v>8.3699999999999992</v>
      </c>
      <c r="AX264">
        <v>9.1999999999999993</v>
      </c>
    </row>
    <row r="265" spans="12:50" x14ac:dyDescent="0.15">
      <c r="L265" s="37">
        <v>261</v>
      </c>
      <c r="M265">
        <v>2016.02</v>
      </c>
      <c r="N265" s="26">
        <v>271109</v>
      </c>
      <c r="O265" s="26">
        <v>1</v>
      </c>
      <c r="P265" s="26">
        <v>104</v>
      </c>
      <c r="Q265" s="26">
        <v>27.6</v>
      </c>
      <c r="R265" s="26">
        <v>3.34</v>
      </c>
      <c r="S265" s="26">
        <v>3</v>
      </c>
      <c r="T265" s="26">
        <v>8.42</v>
      </c>
      <c r="U265" s="33">
        <v>8.6999999999999993</v>
      </c>
      <c r="V265" s="26"/>
      <c r="W265" s="26"/>
      <c r="X265" s="26"/>
      <c r="Y265" s="26"/>
      <c r="Z265" s="26"/>
      <c r="AA265" s="26"/>
      <c r="AB265" s="26"/>
      <c r="AC265" s="26"/>
      <c r="AD265" s="26"/>
      <c r="AF265" s="37">
        <v>261</v>
      </c>
      <c r="AG265"/>
      <c r="AH265"/>
      <c r="AI265"/>
      <c r="AJ265"/>
      <c r="AK265"/>
      <c r="AL265"/>
      <c r="AM265"/>
      <c r="AN265"/>
      <c r="AO265"/>
      <c r="AP265" s="24">
        <v>2019.03</v>
      </c>
      <c r="AQ265">
        <v>300714</v>
      </c>
      <c r="AR265">
        <v>3</v>
      </c>
      <c r="AS265">
        <v>246</v>
      </c>
      <c r="AT265">
        <v>21.1</v>
      </c>
      <c r="AU265">
        <v>3.86</v>
      </c>
      <c r="AV265">
        <v>3.42</v>
      </c>
      <c r="AW265">
        <v>8.92</v>
      </c>
      <c r="AX265">
        <v>12.5</v>
      </c>
    </row>
    <row r="266" spans="12:50" x14ac:dyDescent="0.15">
      <c r="L266" s="37">
        <v>262</v>
      </c>
      <c r="M266">
        <v>2016.02</v>
      </c>
      <c r="N266" s="26">
        <v>271015</v>
      </c>
      <c r="O266" s="26">
        <v>1</v>
      </c>
      <c r="P266" s="26">
        <v>129</v>
      </c>
      <c r="Q266" s="26">
        <v>37.4</v>
      </c>
      <c r="R266" s="26">
        <v>3.15</v>
      </c>
      <c r="S266" s="26">
        <v>2.93</v>
      </c>
      <c r="T266" s="26">
        <v>8.56</v>
      </c>
      <c r="U266" s="33">
        <v>12.4</v>
      </c>
      <c r="V266" s="26"/>
      <c r="W266" s="26"/>
      <c r="X266" s="26"/>
      <c r="Y266" s="26"/>
      <c r="Z266" s="26"/>
      <c r="AA266" s="26"/>
      <c r="AB266" s="26"/>
      <c r="AC266" s="26"/>
      <c r="AD266" s="26"/>
      <c r="AF266" s="37">
        <v>262</v>
      </c>
      <c r="AG266"/>
      <c r="AH266"/>
      <c r="AI266"/>
      <c r="AJ266"/>
      <c r="AK266"/>
      <c r="AL266"/>
      <c r="AM266"/>
      <c r="AN266"/>
      <c r="AO266"/>
      <c r="AP266" s="24">
        <v>2017.11</v>
      </c>
      <c r="AQ266">
        <v>290405</v>
      </c>
      <c r="AR266">
        <v>4</v>
      </c>
      <c r="AS266">
        <v>227</v>
      </c>
      <c r="AT266">
        <v>16</v>
      </c>
      <c r="AU266">
        <v>3.68</v>
      </c>
      <c r="AV266">
        <v>3.31</v>
      </c>
      <c r="AW266">
        <v>8.6199999999999992</v>
      </c>
      <c r="AX266">
        <v>7.1</v>
      </c>
    </row>
    <row r="267" spans="12:50" x14ac:dyDescent="0.15">
      <c r="L267" s="37">
        <v>263</v>
      </c>
      <c r="M267">
        <v>2016.02</v>
      </c>
      <c r="N267" s="26">
        <v>271005</v>
      </c>
      <c r="O267" s="26">
        <v>1</v>
      </c>
      <c r="P267" s="26">
        <v>139</v>
      </c>
      <c r="Q267" s="26">
        <v>30.5</v>
      </c>
      <c r="R267" s="26">
        <v>4.24</v>
      </c>
      <c r="S267" s="26">
        <v>3.49</v>
      </c>
      <c r="T267" s="26">
        <v>9.27</v>
      </c>
      <c r="U267" s="33">
        <v>9.5</v>
      </c>
      <c r="V267" s="26"/>
      <c r="W267" s="26"/>
      <c r="X267" s="26"/>
      <c r="Y267" s="26"/>
      <c r="Z267" s="26"/>
      <c r="AA267" s="26"/>
      <c r="AB267" s="26"/>
      <c r="AC267" s="26"/>
      <c r="AD267" s="26"/>
      <c r="AF267" s="37">
        <v>263</v>
      </c>
      <c r="AG267"/>
      <c r="AH267"/>
      <c r="AI267"/>
      <c r="AJ267"/>
      <c r="AK267"/>
      <c r="AL267"/>
      <c r="AM267"/>
      <c r="AN267"/>
      <c r="AO267"/>
      <c r="AP267" s="24">
        <v>2017.12</v>
      </c>
      <c r="AQ267">
        <v>290405</v>
      </c>
      <c r="AR267">
        <v>4</v>
      </c>
      <c r="AS267">
        <v>256</v>
      </c>
      <c r="AT267">
        <v>10.7</v>
      </c>
      <c r="AU267">
        <v>3.86</v>
      </c>
      <c r="AV267">
        <v>3.35</v>
      </c>
      <c r="AW267">
        <v>8.5299999999999994</v>
      </c>
      <c r="AX267">
        <v>8</v>
      </c>
    </row>
    <row r="268" spans="12:50" x14ac:dyDescent="0.15">
      <c r="L268" s="37">
        <v>264</v>
      </c>
      <c r="M268">
        <v>2016.02</v>
      </c>
      <c r="N268" s="26">
        <v>271005</v>
      </c>
      <c r="O268" s="26">
        <v>1</v>
      </c>
      <c r="P268" s="26">
        <v>139</v>
      </c>
      <c r="Q268" s="26">
        <v>42.5</v>
      </c>
      <c r="R268" s="26">
        <v>3.47</v>
      </c>
      <c r="S268" s="26">
        <v>2.78</v>
      </c>
      <c r="T268" s="26">
        <v>8.36</v>
      </c>
      <c r="U268" s="33">
        <v>11.7</v>
      </c>
      <c r="V268" s="26"/>
      <c r="W268" s="26"/>
      <c r="X268" s="26"/>
      <c r="Y268" s="26"/>
      <c r="Z268" s="26"/>
      <c r="AA268" s="26"/>
      <c r="AB268" s="26"/>
      <c r="AC268" s="26"/>
      <c r="AD268" s="26"/>
      <c r="AF268" s="37">
        <v>264</v>
      </c>
      <c r="AG268"/>
      <c r="AH268"/>
      <c r="AI268"/>
      <c r="AJ268"/>
      <c r="AK268"/>
      <c r="AL268"/>
      <c r="AM268"/>
      <c r="AN268"/>
      <c r="AO268"/>
      <c r="AP268" s="24">
        <v>2018.03</v>
      </c>
      <c r="AQ268">
        <v>291117</v>
      </c>
      <c r="AR268">
        <v>4</v>
      </c>
      <c r="AS268">
        <v>121</v>
      </c>
      <c r="AT268">
        <v>50</v>
      </c>
      <c r="AU268">
        <v>3.91</v>
      </c>
      <c r="AV268">
        <v>3.08</v>
      </c>
      <c r="AW268">
        <v>8.49</v>
      </c>
      <c r="AX268">
        <v>6.9</v>
      </c>
    </row>
    <row r="269" spans="12:50" x14ac:dyDescent="0.15">
      <c r="L269" s="37">
        <v>265</v>
      </c>
      <c r="M269">
        <v>2016.02</v>
      </c>
      <c r="N269" s="26">
        <v>270930</v>
      </c>
      <c r="O269" s="26">
        <v>1</v>
      </c>
      <c r="P269" s="26">
        <v>144</v>
      </c>
      <c r="Q269" s="26">
        <v>21.6</v>
      </c>
      <c r="R269" s="26">
        <v>4.66</v>
      </c>
      <c r="S269" s="26">
        <v>4</v>
      </c>
      <c r="T269" s="26">
        <v>9.6199999999999992</v>
      </c>
      <c r="U269" s="33">
        <v>9.3000000000000007</v>
      </c>
      <c r="V269" s="26"/>
      <c r="W269" s="26"/>
      <c r="X269" s="26"/>
      <c r="Y269" s="26"/>
      <c r="Z269" s="26"/>
      <c r="AA269" s="26"/>
      <c r="AB269" s="26"/>
      <c r="AC269" s="26"/>
      <c r="AD269" s="26"/>
      <c r="AF269" s="37">
        <v>265</v>
      </c>
      <c r="AG269"/>
      <c r="AH269"/>
      <c r="AI269"/>
      <c r="AJ269"/>
      <c r="AK269"/>
      <c r="AL269"/>
      <c r="AM269"/>
      <c r="AN269"/>
      <c r="AO269"/>
      <c r="AP269" s="24">
        <v>2018.11</v>
      </c>
      <c r="AQ269">
        <v>300722</v>
      </c>
      <c r="AR269">
        <v>4</v>
      </c>
      <c r="AS269">
        <v>119</v>
      </c>
      <c r="AT269">
        <v>32.1</v>
      </c>
      <c r="AU269">
        <v>4.75</v>
      </c>
      <c r="AV269">
        <v>3.19</v>
      </c>
      <c r="AW269">
        <v>8.7200000000000006</v>
      </c>
      <c r="AX269">
        <v>13.3</v>
      </c>
    </row>
    <row r="270" spans="12:50" x14ac:dyDescent="0.15">
      <c r="L270" s="37">
        <v>266</v>
      </c>
      <c r="M270">
        <v>2016.02</v>
      </c>
      <c r="N270" s="26">
        <v>270923</v>
      </c>
      <c r="O270" s="26">
        <v>1</v>
      </c>
      <c r="P270" s="26">
        <v>151</v>
      </c>
      <c r="Q270" s="26">
        <v>41.2</v>
      </c>
      <c r="R270" s="26">
        <v>4.22</v>
      </c>
      <c r="S270" s="26">
        <v>3.22</v>
      </c>
      <c r="T270" s="26">
        <v>8.91</v>
      </c>
      <c r="U270" s="33">
        <v>12.9</v>
      </c>
      <c r="V270" s="26"/>
      <c r="W270" s="26"/>
      <c r="X270" s="26"/>
      <c r="Y270" s="26"/>
      <c r="Z270" s="26"/>
      <c r="AA270" s="26"/>
      <c r="AB270" s="26"/>
      <c r="AC270" s="26"/>
      <c r="AD270" s="26"/>
      <c r="AF270" s="37">
        <v>266</v>
      </c>
      <c r="AG270"/>
      <c r="AH270"/>
      <c r="AI270"/>
      <c r="AJ270"/>
      <c r="AK270"/>
      <c r="AL270"/>
      <c r="AM270"/>
      <c r="AN270"/>
      <c r="AO270"/>
      <c r="AP270" s="24">
        <v>2018.11</v>
      </c>
      <c r="AQ270">
        <v>300428</v>
      </c>
      <c r="AR270">
        <v>4</v>
      </c>
      <c r="AS270">
        <v>204</v>
      </c>
      <c r="AT270">
        <v>38.6</v>
      </c>
      <c r="AU270">
        <v>5.86</v>
      </c>
      <c r="AV270">
        <v>3.32</v>
      </c>
      <c r="AW270">
        <v>8.92</v>
      </c>
      <c r="AX270">
        <v>11.4</v>
      </c>
    </row>
    <row r="271" spans="12:50" x14ac:dyDescent="0.15">
      <c r="L271" s="37">
        <v>267</v>
      </c>
      <c r="M271">
        <v>2016.02</v>
      </c>
      <c r="N271" s="26">
        <v>270911</v>
      </c>
      <c r="O271" s="26">
        <v>1</v>
      </c>
      <c r="P271" s="26">
        <v>163</v>
      </c>
      <c r="Q271" s="26">
        <v>35.6</v>
      </c>
      <c r="R271" s="26">
        <v>4.51</v>
      </c>
      <c r="S271" s="26">
        <v>3.27</v>
      </c>
      <c r="T271" s="26">
        <v>8.84</v>
      </c>
      <c r="U271" s="33">
        <v>12.5</v>
      </c>
      <c r="V271" s="26"/>
      <c r="W271" s="26"/>
      <c r="X271" s="26"/>
      <c r="Y271" s="26"/>
      <c r="Z271" s="26"/>
      <c r="AA271" s="26"/>
      <c r="AB271" s="26"/>
      <c r="AC271" s="26"/>
      <c r="AD271" s="26"/>
      <c r="AF271" s="37">
        <v>267</v>
      </c>
      <c r="AG271"/>
      <c r="AH271"/>
      <c r="AI271"/>
      <c r="AJ271"/>
      <c r="AK271"/>
      <c r="AL271"/>
      <c r="AM271"/>
      <c r="AN271"/>
      <c r="AO271"/>
      <c r="AP271" s="24">
        <v>2018.12</v>
      </c>
      <c r="AQ271">
        <v>300722</v>
      </c>
      <c r="AR271">
        <v>4</v>
      </c>
      <c r="AS271">
        <v>147</v>
      </c>
      <c r="AT271">
        <v>27.9</v>
      </c>
      <c r="AU271">
        <v>3.64</v>
      </c>
      <c r="AV271">
        <v>3.32</v>
      </c>
      <c r="AW271">
        <v>8.91</v>
      </c>
      <c r="AX271">
        <v>11.3</v>
      </c>
    </row>
    <row r="272" spans="12:50" x14ac:dyDescent="0.15">
      <c r="L272" s="37">
        <v>268</v>
      </c>
      <c r="M272">
        <v>2016.02</v>
      </c>
      <c r="N272" s="26">
        <v>270901</v>
      </c>
      <c r="O272" s="26">
        <v>1</v>
      </c>
      <c r="P272" s="26">
        <v>173</v>
      </c>
      <c r="Q272" s="26">
        <v>37.299999999999997</v>
      </c>
      <c r="R272" s="26">
        <v>4.1100000000000003</v>
      </c>
      <c r="S272" s="26">
        <v>3.29</v>
      </c>
      <c r="T272" s="26">
        <v>8.9600000000000009</v>
      </c>
      <c r="U272" s="33">
        <v>12.3</v>
      </c>
      <c r="V272" s="26"/>
      <c r="W272" s="26"/>
      <c r="X272" s="26"/>
      <c r="Y272" s="26"/>
      <c r="Z272" s="26"/>
      <c r="AA272" s="26"/>
      <c r="AB272" s="26"/>
      <c r="AC272" s="26"/>
      <c r="AD272" s="26"/>
      <c r="AF272" s="37">
        <v>268</v>
      </c>
      <c r="AG272"/>
      <c r="AH272"/>
      <c r="AI272"/>
      <c r="AJ272"/>
      <c r="AK272"/>
      <c r="AL272"/>
      <c r="AM272"/>
      <c r="AN272"/>
      <c r="AO272"/>
      <c r="AP272" s="24">
        <v>2019.01</v>
      </c>
      <c r="AQ272">
        <v>300929</v>
      </c>
      <c r="AR272">
        <v>4</v>
      </c>
      <c r="AS272">
        <v>113</v>
      </c>
      <c r="AT272">
        <v>43.9</v>
      </c>
      <c r="AU272">
        <v>3.47</v>
      </c>
      <c r="AV272">
        <v>2.94</v>
      </c>
      <c r="AW272">
        <v>8.4700000000000006</v>
      </c>
      <c r="AX272">
        <v>6.9</v>
      </c>
    </row>
    <row r="273" spans="12:50" x14ac:dyDescent="0.15">
      <c r="L273" s="37">
        <v>269</v>
      </c>
      <c r="M273">
        <v>2016.02</v>
      </c>
      <c r="N273" s="26">
        <v>270828</v>
      </c>
      <c r="O273" s="26">
        <v>1</v>
      </c>
      <c r="P273" s="26">
        <v>177</v>
      </c>
      <c r="Q273" s="26">
        <v>28.8</v>
      </c>
      <c r="R273" s="26">
        <v>4.07</v>
      </c>
      <c r="S273" s="26">
        <v>3.98</v>
      </c>
      <c r="T273" s="26">
        <v>9.5399999999999991</v>
      </c>
      <c r="U273" s="33">
        <v>6.1</v>
      </c>
      <c r="V273" s="26"/>
      <c r="W273" s="26"/>
      <c r="X273" s="26"/>
      <c r="Y273" s="26"/>
      <c r="Z273" s="26"/>
      <c r="AA273" s="26"/>
      <c r="AB273" s="26"/>
      <c r="AC273" s="26"/>
      <c r="AD273" s="26"/>
      <c r="AF273" s="37">
        <v>269</v>
      </c>
      <c r="AG273"/>
      <c r="AH273"/>
      <c r="AI273"/>
      <c r="AJ273"/>
      <c r="AK273"/>
      <c r="AL273"/>
      <c r="AM273"/>
      <c r="AN273"/>
      <c r="AO273"/>
      <c r="AP273" s="24">
        <v>2019.01</v>
      </c>
      <c r="AQ273">
        <v>300722</v>
      </c>
      <c r="AR273">
        <v>4</v>
      </c>
      <c r="AS273">
        <v>182</v>
      </c>
      <c r="AT273">
        <v>23.6</v>
      </c>
      <c r="AU273">
        <v>4.8</v>
      </c>
      <c r="AV273">
        <v>3.34</v>
      </c>
      <c r="AW273">
        <v>8.7899999999999991</v>
      </c>
      <c r="AX273">
        <v>11.1</v>
      </c>
    </row>
    <row r="274" spans="12:50" x14ac:dyDescent="0.15">
      <c r="L274" s="37">
        <v>270</v>
      </c>
      <c r="M274">
        <v>2016.02</v>
      </c>
      <c r="N274" s="26">
        <v>270821</v>
      </c>
      <c r="O274" s="26">
        <v>1</v>
      </c>
      <c r="P274" s="26">
        <v>184</v>
      </c>
      <c r="Q274" s="26">
        <v>37.1</v>
      </c>
      <c r="R274" s="26">
        <v>4.7699999999999996</v>
      </c>
      <c r="S274" s="26">
        <v>3.21</v>
      </c>
      <c r="T274" s="26">
        <v>8.9</v>
      </c>
      <c r="U274" s="33">
        <v>10.5</v>
      </c>
      <c r="V274" s="26"/>
      <c r="W274" s="26"/>
      <c r="X274" s="26"/>
      <c r="Y274" s="26"/>
      <c r="Z274" s="26"/>
      <c r="AA274" s="26"/>
      <c r="AB274" s="26"/>
      <c r="AC274" s="26"/>
      <c r="AD274" s="26"/>
      <c r="AF274" s="37">
        <v>270</v>
      </c>
      <c r="AG274"/>
      <c r="AH274"/>
      <c r="AI274"/>
      <c r="AJ274"/>
      <c r="AK274"/>
      <c r="AL274"/>
      <c r="AM274"/>
      <c r="AN274"/>
      <c r="AO274"/>
      <c r="AP274" s="24">
        <v>2019.02</v>
      </c>
      <c r="AQ274">
        <v>301026</v>
      </c>
      <c r="AR274">
        <v>4</v>
      </c>
      <c r="AS274">
        <v>114</v>
      </c>
      <c r="AT274">
        <v>36.299999999999997</v>
      </c>
      <c r="AU274">
        <v>4.74</v>
      </c>
      <c r="AV274">
        <v>2.99</v>
      </c>
      <c r="AW274">
        <v>8.76</v>
      </c>
      <c r="AX274">
        <v>7.9</v>
      </c>
    </row>
    <row r="275" spans="12:50" x14ac:dyDescent="0.15">
      <c r="L275" s="37">
        <v>271</v>
      </c>
      <c r="M275">
        <v>2016.02</v>
      </c>
      <c r="N275" s="26">
        <v>270804</v>
      </c>
      <c r="O275" s="26">
        <v>1</v>
      </c>
      <c r="P275" s="26">
        <v>201</v>
      </c>
      <c r="Q275" s="26">
        <v>35.200000000000003</v>
      </c>
      <c r="R275" s="26">
        <v>4.49</v>
      </c>
      <c r="S275" s="26">
        <v>3.54</v>
      </c>
      <c r="T275" s="26">
        <v>9.19</v>
      </c>
      <c r="U275" s="33">
        <v>8.9</v>
      </c>
      <c r="V275" s="26"/>
      <c r="W275" s="26"/>
      <c r="X275" s="26"/>
      <c r="Y275" s="26"/>
      <c r="Z275" s="26"/>
      <c r="AA275" s="26"/>
      <c r="AB275" s="26"/>
      <c r="AC275" s="26"/>
      <c r="AD275" s="26"/>
      <c r="AF275" s="37">
        <v>271</v>
      </c>
      <c r="AG275"/>
      <c r="AH275"/>
      <c r="AI275"/>
      <c r="AJ275"/>
      <c r="AK275"/>
      <c r="AL275"/>
      <c r="AM275"/>
      <c r="AN275"/>
      <c r="AO275"/>
      <c r="AP275" s="24">
        <v>2019.02</v>
      </c>
      <c r="AQ275">
        <v>301017</v>
      </c>
      <c r="AR275">
        <v>4</v>
      </c>
      <c r="AS275">
        <v>123</v>
      </c>
      <c r="AT275">
        <v>53.8</v>
      </c>
      <c r="AU275">
        <v>3.46</v>
      </c>
      <c r="AV275">
        <v>2.4500000000000002</v>
      </c>
      <c r="AW275">
        <v>7.98</v>
      </c>
      <c r="AX275">
        <v>8.5</v>
      </c>
    </row>
    <row r="276" spans="12:50" x14ac:dyDescent="0.15">
      <c r="L276" s="37">
        <v>272</v>
      </c>
      <c r="M276">
        <v>2016.02</v>
      </c>
      <c r="N276" s="26">
        <v>270730</v>
      </c>
      <c r="O276" s="26">
        <v>1</v>
      </c>
      <c r="P276" s="26">
        <v>206</v>
      </c>
      <c r="Q276" s="26">
        <v>33.4</v>
      </c>
      <c r="R276" s="26">
        <v>4.12</v>
      </c>
      <c r="S276" s="26">
        <v>3.23</v>
      </c>
      <c r="T276" s="26">
        <v>8.7100000000000009</v>
      </c>
      <c r="U276" s="33">
        <v>11</v>
      </c>
      <c r="V276" s="26"/>
      <c r="W276" s="26"/>
      <c r="X276" s="26"/>
      <c r="Y276" s="26"/>
      <c r="Z276" s="26"/>
      <c r="AA276" s="26"/>
      <c r="AB276" s="26"/>
      <c r="AC276" s="26"/>
      <c r="AD276" s="26"/>
      <c r="AF276" s="37">
        <v>272</v>
      </c>
      <c r="AG276"/>
      <c r="AH276"/>
      <c r="AI276"/>
      <c r="AJ276"/>
      <c r="AK276"/>
      <c r="AL276"/>
      <c r="AM276"/>
      <c r="AN276"/>
      <c r="AO276"/>
      <c r="AP276" s="24">
        <v>2019.02</v>
      </c>
      <c r="AQ276">
        <v>301016</v>
      </c>
      <c r="AR276">
        <v>4</v>
      </c>
      <c r="AS276">
        <v>124</v>
      </c>
      <c r="AT276">
        <v>46.6</v>
      </c>
      <c r="AU276">
        <v>4.21</v>
      </c>
      <c r="AV276">
        <v>3.1</v>
      </c>
      <c r="AW276">
        <v>8.59</v>
      </c>
      <c r="AX276">
        <v>8.9</v>
      </c>
    </row>
    <row r="277" spans="12:50" x14ac:dyDescent="0.15">
      <c r="L277" s="37">
        <v>273</v>
      </c>
      <c r="M277">
        <v>2016.02</v>
      </c>
      <c r="N277" s="26">
        <v>270729</v>
      </c>
      <c r="O277" s="26">
        <v>1</v>
      </c>
      <c r="P277" s="26">
        <v>207</v>
      </c>
      <c r="Q277" s="26">
        <v>28</v>
      </c>
      <c r="R277" s="26">
        <v>4.25</v>
      </c>
      <c r="S277" s="26">
        <v>3.44</v>
      </c>
      <c r="T277" s="26">
        <v>9.17</v>
      </c>
      <c r="U277" s="33">
        <v>10.9</v>
      </c>
      <c r="V277" s="26"/>
      <c r="W277" s="26"/>
      <c r="X277" s="26"/>
      <c r="Y277" s="26"/>
      <c r="Z277" s="26"/>
      <c r="AA277" s="26"/>
      <c r="AB277" s="26"/>
      <c r="AC277" s="26"/>
      <c r="AD277" s="26"/>
      <c r="AF277" s="37">
        <v>273</v>
      </c>
      <c r="AG277"/>
      <c r="AH277"/>
      <c r="AI277"/>
      <c r="AJ277"/>
      <c r="AK277"/>
      <c r="AL277"/>
      <c r="AM277"/>
      <c r="AN277"/>
      <c r="AO277"/>
      <c r="AP277" s="24">
        <v>2019.02</v>
      </c>
      <c r="AQ277">
        <v>300929</v>
      </c>
      <c r="AR277">
        <v>4</v>
      </c>
      <c r="AS277">
        <v>141</v>
      </c>
      <c r="AT277">
        <v>42.2</v>
      </c>
      <c r="AU277">
        <v>3.94</v>
      </c>
      <c r="AV277">
        <v>3.13</v>
      </c>
      <c r="AW277">
        <v>8.5500000000000007</v>
      </c>
      <c r="AX277">
        <v>6.8</v>
      </c>
    </row>
    <row r="278" spans="12:50" x14ac:dyDescent="0.15">
      <c r="L278" s="37">
        <v>274</v>
      </c>
      <c r="M278">
        <v>2016.02</v>
      </c>
      <c r="N278" s="26">
        <v>270728</v>
      </c>
      <c r="O278" s="26">
        <v>1</v>
      </c>
      <c r="P278" s="26">
        <v>208</v>
      </c>
      <c r="Q278" s="26">
        <v>34.200000000000003</v>
      </c>
      <c r="R278" s="26">
        <v>3.27</v>
      </c>
      <c r="S278" s="26">
        <v>3.15</v>
      </c>
      <c r="T278" s="26">
        <v>8.6999999999999993</v>
      </c>
      <c r="U278" s="33">
        <v>7.4</v>
      </c>
      <c r="V278" s="26"/>
      <c r="W278" s="26"/>
      <c r="X278" s="26"/>
      <c r="Y278" s="26"/>
      <c r="Z278" s="26"/>
      <c r="AA278" s="26"/>
      <c r="AB278" s="26"/>
      <c r="AC278" s="26"/>
      <c r="AD278" s="26"/>
      <c r="AF278" s="37">
        <v>274</v>
      </c>
      <c r="AG278"/>
      <c r="AH278"/>
      <c r="AI278"/>
      <c r="AJ278"/>
      <c r="AK278"/>
      <c r="AL278"/>
      <c r="AM278"/>
      <c r="AN278"/>
      <c r="AO278"/>
      <c r="AP278" s="24">
        <v>2019.02</v>
      </c>
      <c r="AQ278">
        <v>300722</v>
      </c>
      <c r="AR278">
        <v>4</v>
      </c>
      <c r="AS278">
        <v>210</v>
      </c>
      <c r="AT278">
        <v>22.1</v>
      </c>
      <c r="AU278">
        <v>4.67</v>
      </c>
      <c r="AV278">
        <v>3.43</v>
      </c>
      <c r="AW278">
        <v>8.7100000000000009</v>
      </c>
      <c r="AX278">
        <v>8.5</v>
      </c>
    </row>
    <row r="279" spans="12:50" x14ac:dyDescent="0.15">
      <c r="L279" s="37">
        <v>275</v>
      </c>
      <c r="M279">
        <v>2016.02</v>
      </c>
      <c r="N279" s="26">
        <v>270728</v>
      </c>
      <c r="O279" s="26">
        <v>1</v>
      </c>
      <c r="P279" s="26">
        <v>208</v>
      </c>
      <c r="Q279" s="26">
        <v>35.299999999999997</v>
      </c>
      <c r="R279" s="26">
        <v>3.46</v>
      </c>
      <c r="S279" s="26">
        <v>2.92</v>
      </c>
      <c r="T279" s="26">
        <v>8.6300000000000008</v>
      </c>
      <c r="U279" s="33">
        <v>11.6</v>
      </c>
      <c r="V279" s="26"/>
      <c r="W279" s="26"/>
      <c r="X279" s="26"/>
      <c r="Y279" s="26"/>
      <c r="Z279" s="26"/>
      <c r="AA279" s="26"/>
      <c r="AB279" s="26"/>
      <c r="AC279" s="26"/>
      <c r="AD279" s="26"/>
      <c r="AF279" s="37">
        <v>275</v>
      </c>
      <c r="AG279"/>
      <c r="AH279"/>
      <c r="AI279"/>
      <c r="AJ279"/>
      <c r="AK279"/>
      <c r="AL279"/>
      <c r="AM279"/>
      <c r="AN279"/>
      <c r="AO279"/>
      <c r="AP279" s="24">
        <v>2019.03</v>
      </c>
      <c r="AQ279">
        <v>301026</v>
      </c>
      <c r="AR279">
        <v>4</v>
      </c>
      <c r="AS279">
        <v>142</v>
      </c>
      <c r="AT279">
        <v>27.7</v>
      </c>
      <c r="AU279">
        <v>4.82</v>
      </c>
      <c r="AV279">
        <v>3.36</v>
      </c>
      <c r="AW279">
        <v>9.0399999999999991</v>
      </c>
      <c r="AX279">
        <v>8.6</v>
      </c>
    </row>
    <row r="280" spans="12:50" x14ac:dyDescent="0.15">
      <c r="L280" s="37">
        <v>276</v>
      </c>
      <c r="M280">
        <v>2016.02</v>
      </c>
      <c r="N280" s="26">
        <v>270721</v>
      </c>
      <c r="O280" s="26">
        <v>1</v>
      </c>
      <c r="P280" s="26">
        <v>215</v>
      </c>
      <c r="Q280" s="26">
        <v>34.299999999999997</v>
      </c>
      <c r="R280" s="26">
        <v>4.0999999999999996</v>
      </c>
      <c r="S280" s="26">
        <v>3.37</v>
      </c>
      <c r="T280" s="26">
        <v>8.94</v>
      </c>
      <c r="U280" s="33">
        <v>8.3000000000000007</v>
      </c>
      <c r="V280" s="26"/>
      <c r="W280" s="26"/>
      <c r="X280" s="26"/>
      <c r="Y280" s="26"/>
      <c r="Z280" s="26"/>
      <c r="AA280" s="26"/>
      <c r="AB280" s="26"/>
      <c r="AC280" s="26"/>
      <c r="AD280" s="26"/>
      <c r="AF280" s="37">
        <v>276</v>
      </c>
      <c r="AG280"/>
      <c r="AH280"/>
      <c r="AI280"/>
      <c r="AJ280"/>
      <c r="AK280"/>
      <c r="AL280"/>
      <c r="AM280"/>
      <c r="AN280"/>
      <c r="AO280"/>
      <c r="AP280" s="24">
        <v>2019.03</v>
      </c>
      <c r="AQ280">
        <v>301017</v>
      </c>
      <c r="AR280">
        <v>4</v>
      </c>
      <c r="AS280">
        <v>151</v>
      </c>
      <c r="AT280">
        <v>51.7</v>
      </c>
      <c r="AU280">
        <v>3.2</v>
      </c>
      <c r="AV280">
        <v>2.54</v>
      </c>
      <c r="AW280">
        <v>7.99</v>
      </c>
      <c r="AX280">
        <v>9.6</v>
      </c>
    </row>
    <row r="281" spans="12:50" x14ac:dyDescent="0.15">
      <c r="L281" s="37">
        <v>277</v>
      </c>
      <c r="M281">
        <v>2016.02</v>
      </c>
      <c r="N281" s="26">
        <v>270717</v>
      </c>
      <c r="O281" s="26">
        <v>1</v>
      </c>
      <c r="P281" s="26">
        <v>219</v>
      </c>
      <c r="Q281" s="26">
        <v>19.8</v>
      </c>
      <c r="R281" s="26">
        <v>4.24</v>
      </c>
      <c r="S281" s="26">
        <v>3.18</v>
      </c>
      <c r="T281" s="26">
        <v>8.76</v>
      </c>
      <c r="U281" s="33">
        <v>8.8000000000000007</v>
      </c>
      <c r="V281" s="26"/>
      <c r="W281" s="26"/>
      <c r="X281" s="26"/>
      <c r="Y281" s="26"/>
      <c r="Z281" s="26"/>
      <c r="AA281" s="26"/>
      <c r="AB281" s="26"/>
      <c r="AC281" s="26"/>
      <c r="AD281" s="26"/>
      <c r="AF281" s="37">
        <v>277</v>
      </c>
      <c r="AG281"/>
      <c r="AH281"/>
      <c r="AI281"/>
      <c r="AJ281"/>
      <c r="AK281"/>
      <c r="AL281"/>
      <c r="AM281"/>
      <c r="AN281"/>
      <c r="AO281"/>
      <c r="AP281" s="24">
        <v>2019.03</v>
      </c>
      <c r="AQ281">
        <v>301016</v>
      </c>
      <c r="AR281">
        <v>4</v>
      </c>
      <c r="AS281">
        <v>152</v>
      </c>
      <c r="AT281">
        <v>45.2</v>
      </c>
      <c r="AU281">
        <v>3.85</v>
      </c>
      <c r="AV281">
        <v>3.08</v>
      </c>
      <c r="AW281">
        <v>8.5</v>
      </c>
      <c r="AX281">
        <v>10.6</v>
      </c>
    </row>
    <row r="282" spans="12:50" x14ac:dyDescent="0.15">
      <c r="L282" s="37">
        <v>278</v>
      </c>
      <c r="M282">
        <v>2016.02</v>
      </c>
      <c r="N282" s="26">
        <v>270717</v>
      </c>
      <c r="O282" s="26">
        <v>1</v>
      </c>
      <c r="P282" s="26">
        <v>219</v>
      </c>
      <c r="Q282" s="26">
        <v>40.1</v>
      </c>
      <c r="R282" s="26">
        <v>3.47</v>
      </c>
      <c r="S282" s="26">
        <v>3</v>
      </c>
      <c r="T282" s="26">
        <v>8.5399999999999991</v>
      </c>
      <c r="U282" s="33">
        <v>10.9</v>
      </c>
      <c r="V282" s="26"/>
      <c r="W282" s="26"/>
      <c r="X282" s="26"/>
      <c r="Y282" s="26"/>
      <c r="Z282" s="26"/>
      <c r="AA282" s="26"/>
      <c r="AB282" s="26"/>
      <c r="AC282" s="26"/>
      <c r="AD282" s="26"/>
      <c r="AF282" s="37">
        <v>278</v>
      </c>
      <c r="AG282"/>
      <c r="AH282"/>
      <c r="AI282"/>
      <c r="AJ282"/>
      <c r="AK282"/>
      <c r="AL282"/>
      <c r="AM282"/>
      <c r="AN282"/>
      <c r="AO282"/>
      <c r="AP282" s="24">
        <v>2019.03</v>
      </c>
      <c r="AQ282">
        <v>300929</v>
      </c>
      <c r="AR282">
        <v>4</v>
      </c>
      <c r="AS282">
        <v>169</v>
      </c>
      <c r="AT282">
        <v>44.1</v>
      </c>
      <c r="AU282">
        <v>3.82</v>
      </c>
      <c r="AV282">
        <v>2.89</v>
      </c>
      <c r="AW282">
        <v>8.48</v>
      </c>
      <c r="AX282">
        <v>9.5</v>
      </c>
    </row>
    <row r="283" spans="12:50" x14ac:dyDescent="0.15">
      <c r="L283" s="37">
        <v>279</v>
      </c>
      <c r="M283">
        <v>2016.02</v>
      </c>
      <c r="N283" s="26">
        <v>270715</v>
      </c>
      <c r="O283" s="26">
        <v>1</v>
      </c>
      <c r="P283" s="26">
        <v>221</v>
      </c>
      <c r="Q283" s="26">
        <v>21</v>
      </c>
      <c r="R283" s="26">
        <v>4.8099999999999996</v>
      </c>
      <c r="S283" s="26">
        <v>3.57</v>
      </c>
      <c r="T283" s="26">
        <v>9.19</v>
      </c>
      <c r="U283" s="33">
        <v>9.3000000000000007</v>
      </c>
      <c r="V283" s="26"/>
      <c r="W283" s="26"/>
      <c r="X283" s="26"/>
      <c r="Y283" s="26"/>
      <c r="Z283" s="26"/>
      <c r="AA283" s="26"/>
      <c r="AB283" s="26"/>
      <c r="AC283" s="26"/>
      <c r="AD283" s="26"/>
      <c r="AF283" s="37">
        <v>279</v>
      </c>
      <c r="AG283"/>
      <c r="AH283"/>
      <c r="AI283"/>
      <c r="AJ283"/>
      <c r="AK283"/>
      <c r="AL283"/>
      <c r="AM283"/>
      <c r="AN283"/>
      <c r="AO283"/>
      <c r="AP283" s="24">
        <v>2019.03</v>
      </c>
      <c r="AQ283">
        <v>300722</v>
      </c>
      <c r="AR283">
        <v>4</v>
      </c>
      <c r="AS283">
        <v>238</v>
      </c>
      <c r="AT283">
        <v>17.8</v>
      </c>
      <c r="AU283">
        <v>4.5999999999999996</v>
      </c>
      <c r="AV283">
        <v>3.22</v>
      </c>
      <c r="AW283">
        <v>8.3699999999999992</v>
      </c>
      <c r="AX283">
        <v>10.9</v>
      </c>
    </row>
    <row r="284" spans="12:50" x14ac:dyDescent="0.15">
      <c r="L284" s="37">
        <v>280</v>
      </c>
      <c r="M284">
        <v>2016.02</v>
      </c>
      <c r="N284" s="26">
        <v>270712</v>
      </c>
      <c r="O284" s="26">
        <v>1</v>
      </c>
      <c r="P284" s="26">
        <v>224</v>
      </c>
      <c r="Q284" s="26">
        <v>12</v>
      </c>
      <c r="R284" s="26">
        <v>6.76</v>
      </c>
      <c r="S284" s="26">
        <v>3.96</v>
      </c>
      <c r="T284" s="26">
        <v>9.15</v>
      </c>
      <c r="U284" s="33">
        <v>8.4</v>
      </c>
      <c r="V284" s="26"/>
      <c r="W284" s="26"/>
      <c r="X284" s="26"/>
      <c r="Y284" s="26"/>
      <c r="Z284" s="26"/>
      <c r="AA284" s="26"/>
      <c r="AB284" s="26"/>
      <c r="AC284" s="26"/>
      <c r="AD284" s="26"/>
      <c r="AF284" s="37"/>
    </row>
    <row r="285" spans="12:50" x14ac:dyDescent="0.15">
      <c r="L285" s="37">
        <v>281</v>
      </c>
      <c r="M285">
        <v>2016.02</v>
      </c>
      <c r="N285" s="26">
        <v>270707</v>
      </c>
      <c r="O285" s="26">
        <v>1</v>
      </c>
      <c r="P285" s="26">
        <v>229</v>
      </c>
      <c r="Q285" s="26">
        <v>23.6</v>
      </c>
      <c r="R285" s="26">
        <v>4.8</v>
      </c>
      <c r="S285" s="26">
        <v>4.0999999999999996</v>
      </c>
      <c r="T285" s="26">
        <v>9.7799999999999994</v>
      </c>
      <c r="U285" s="33">
        <v>9.4</v>
      </c>
      <c r="V285" s="26"/>
      <c r="W285" s="26"/>
      <c r="X285" s="26"/>
      <c r="Y285" s="26"/>
      <c r="Z285" s="26"/>
      <c r="AA285" s="26"/>
      <c r="AB285" s="26"/>
      <c r="AC285" s="26"/>
      <c r="AD285" s="26"/>
      <c r="AF285" s="37"/>
    </row>
    <row r="286" spans="12:50" x14ac:dyDescent="0.15">
      <c r="L286" s="37">
        <v>282</v>
      </c>
      <c r="M286">
        <v>2016.02</v>
      </c>
      <c r="N286" s="26">
        <v>270705</v>
      </c>
      <c r="O286" s="26">
        <v>1</v>
      </c>
      <c r="P286" s="26">
        <v>231</v>
      </c>
      <c r="Q286" s="26">
        <v>41.6</v>
      </c>
      <c r="R286" s="26">
        <v>3.55</v>
      </c>
      <c r="S286" s="26">
        <v>2.99</v>
      </c>
      <c r="T286" s="26">
        <v>8.11</v>
      </c>
      <c r="U286" s="33">
        <v>9.9</v>
      </c>
      <c r="V286" s="26"/>
      <c r="W286" s="26"/>
      <c r="X286" s="26"/>
      <c r="Y286" s="26"/>
      <c r="Z286" s="26"/>
      <c r="AA286" s="26"/>
      <c r="AB286" s="26"/>
      <c r="AC286" s="26"/>
      <c r="AD286" s="26"/>
      <c r="AF286" s="37"/>
    </row>
    <row r="287" spans="12:50" x14ac:dyDescent="0.15">
      <c r="L287" s="37">
        <v>283</v>
      </c>
      <c r="M287">
        <v>2016.02</v>
      </c>
      <c r="N287" s="26">
        <v>270705</v>
      </c>
      <c r="O287" s="26">
        <v>1</v>
      </c>
      <c r="P287" s="26">
        <v>231</v>
      </c>
      <c r="Q287" s="26">
        <v>28.5</v>
      </c>
      <c r="R287" s="26">
        <v>3.57</v>
      </c>
      <c r="S287" s="26">
        <v>3.87</v>
      </c>
      <c r="T287" s="26">
        <v>9.49</v>
      </c>
      <c r="U287" s="33">
        <v>10.7</v>
      </c>
      <c r="V287" s="26"/>
      <c r="W287" s="26"/>
      <c r="X287" s="26"/>
      <c r="Y287" s="26"/>
      <c r="Z287" s="26"/>
      <c r="AA287" s="26"/>
      <c r="AB287" s="26"/>
      <c r="AC287" s="26"/>
      <c r="AD287" s="26"/>
      <c r="AF287" s="37"/>
    </row>
    <row r="288" spans="12:50" x14ac:dyDescent="0.15">
      <c r="L288" s="37">
        <v>284</v>
      </c>
      <c r="M288">
        <v>2016.02</v>
      </c>
      <c r="N288" s="26">
        <v>270703</v>
      </c>
      <c r="O288" s="26">
        <v>1</v>
      </c>
      <c r="P288" s="26">
        <v>233</v>
      </c>
      <c r="Q288" s="26">
        <v>35.1</v>
      </c>
      <c r="R288" s="26">
        <v>4.2300000000000004</v>
      </c>
      <c r="S288" s="26">
        <v>3.46</v>
      </c>
      <c r="T288" s="26">
        <v>9.0399999999999991</v>
      </c>
      <c r="U288" s="33">
        <v>10.4</v>
      </c>
      <c r="V288" s="26"/>
      <c r="W288" s="26"/>
      <c r="X288" s="26"/>
      <c r="Y288" s="26"/>
      <c r="Z288" s="26"/>
      <c r="AA288" s="26"/>
      <c r="AB288" s="26"/>
      <c r="AC288" s="26"/>
      <c r="AD288" s="26"/>
      <c r="AF288" s="37"/>
    </row>
    <row r="289" spans="12:32" x14ac:dyDescent="0.15">
      <c r="L289" s="37">
        <v>285</v>
      </c>
      <c r="M289">
        <v>2016.02</v>
      </c>
      <c r="N289" s="26">
        <v>270702</v>
      </c>
      <c r="O289" s="26">
        <v>1</v>
      </c>
      <c r="P289" s="26">
        <v>234</v>
      </c>
      <c r="Q289" s="26">
        <v>35.6</v>
      </c>
      <c r="R289" s="26">
        <v>4.7699999999999996</v>
      </c>
      <c r="S289" s="26">
        <v>3.66</v>
      </c>
      <c r="T289" s="26">
        <v>9.64</v>
      </c>
      <c r="U289" s="33">
        <v>10.5</v>
      </c>
      <c r="V289" s="26"/>
      <c r="W289" s="26"/>
      <c r="X289" s="26"/>
      <c r="Y289" s="26"/>
      <c r="Z289" s="26"/>
      <c r="AA289" s="26"/>
      <c r="AB289" s="26"/>
      <c r="AC289" s="26"/>
      <c r="AD289" s="26"/>
      <c r="AF289" s="37"/>
    </row>
    <row r="290" spans="12:32" x14ac:dyDescent="0.15">
      <c r="L290" s="37">
        <v>286</v>
      </c>
      <c r="M290">
        <v>2016.02</v>
      </c>
      <c r="N290" s="26">
        <v>270628</v>
      </c>
      <c r="O290" s="26">
        <v>1</v>
      </c>
      <c r="P290" s="26">
        <v>238</v>
      </c>
      <c r="Q290" s="26">
        <v>26.7</v>
      </c>
      <c r="R290" s="26">
        <v>4.12</v>
      </c>
      <c r="S290" s="26">
        <v>3.88</v>
      </c>
      <c r="T290" s="26">
        <v>9.19</v>
      </c>
      <c r="U290" s="33">
        <v>9.9</v>
      </c>
      <c r="V290" s="26"/>
      <c r="W290" s="26"/>
      <c r="X290" s="26"/>
      <c r="Y290" s="26"/>
      <c r="Z290" s="26"/>
      <c r="AA290" s="26"/>
      <c r="AB290" s="26"/>
      <c r="AC290" s="26"/>
      <c r="AD290" s="26"/>
      <c r="AF290" s="37"/>
    </row>
    <row r="291" spans="12:32" x14ac:dyDescent="0.15">
      <c r="L291" s="37">
        <v>287</v>
      </c>
      <c r="M291">
        <v>2016.02</v>
      </c>
      <c r="N291" s="26">
        <v>270624</v>
      </c>
      <c r="O291" s="26">
        <v>1</v>
      </c>
      <c r="P291" s="26">
        <v>242</v>
      </c>
      <c r="Q291" s="26">
        <v>24.4</v>
      </c>
      <c r="R291" s="26">
        <v>4.25</v>
      </c>
      <c r="S291" s="26">
        <v>3.48</v>
      </c>
      <c r="T291" s="26">
        <v>9.17</v>
      </c>
      <c r="U291" s="33">
        <v>10.199999999999999</v>
      </c>
      <c r="V291" s="26"/>
      <c r="W291" s="26"/>
      <c r="X291" s="26"/>
      <c r="Y291" s="26"/>
      <c r="Z291" s="26"/>
      <c r="AA291" s="26"/>
      <c r="AB291" s="26"/>
      <c r="AC291" s="26"/>
      <c r="AD291" s="26"/>
      <c r="AF291" s="37"/>
    </row>
    <row r="292" spans="12:32" x14ac:dyDescent="0.15">
      <c r="L292" s="37">
        <v>288</v>
      </c>
      <c r="M292">
        <v>2016.02</v>
      </c>
      <c r="N292" s="26">
        <v>270624</v>
      </c>
      <c r="O292" s="26">
        <v>1</v>
      </c>
      <c r="P292" s="26">
        <v>242</v>
      </c>
      <c r="Q292" s="26">
        <v>38.4</v>
      </c>
      <c r="R292" s="26">
        <v>3.32</v>
      </c>
      <c r="S292" s="26">
        <v>3.48</v>
      </c>
      <c r="T292" s="26">
        <v>9.16</v>
      </c>
      <c r="U292" s="33">
        <v>9.6999999999999993</v>
      </c>
      <c r="V292" s="26"/>
      <c r="W292" s="26"/>
      <c r="X292" s="26"/>
      <c r="Y292" s="26"/>
      <c r="Z292" s="26"/>
      <c r="AA292" s="26"/>
      <c r="AB292" s="26"/>
      <c r="AC292" s="26"/>
      <c r="AD292" s="26"/>
      <c r="AF292" s="37"/>
    </row>
    <row r="293" spans="12:32" x14ac:dyDescent="0.15">
      <c r="L293" s="37">
        <v>289</v>
      </c>
      <c r="M293">
        <v>2016.02</v>
      </c>
      <c r="N293" s="26">
        <v>270624</v>
      </c>
      <c r="O293" s="26">
        <v>1</v>
      </c>
      <c r="P293" s="26">
        <v>242</v>
      </c>
      <c r="Q293" s="26">
        <v>32.9</v>
      </c>
      <c r="R293" s="26">
        <v>3.65</v>
      </c>
      <c r="S293" s="26">
        <v>3.22</v>
      </c>
      <c r="T293" s="26">
        <v>8.82</v>
      </c>
      <c r="U293" s="33">
        <v>6.5</v>
      </c>
      <c r="V293" s="26"/>
      <c r="W293" s="26"/>
      <c r="X293" s="26"/>
      <c r="Y293" s="26"/>
      <c r="Z293" s="26"/>
      <c r="AA293" s="26"/>
      <c r="AB293" s="26"/>
      <c r="AC293" s="26"/>
      <c r="AD293" s="26"/>
      <c r="AF293" s="37"/>
    </row>
    <row r="294" spans="12:32" x14ac:dyDescent="0.15">
      <c r="L294" s="37">
        <v>290</v>
      </c>
      <c r="M294">
        <v>2016.02</v>
      </c>
      <c r="N294" s="26">
        <v>270622</v>
      </c>
      <c r="O294" s="26">
        <v>1</v>
      </c>
      <c r="P294" s="26">
        <v>244</v>
      </c>
      <c r="Q294" s="26">
        <v>33</v>
      </c>
      <c r="R294" s="26">
        <v>3.84</v>
      </c>
      <c r="S294" s="26">
        <v>3.54</v>
      </c>
      <c r="T294" s="26">
        <v>9.15</v>
      </c>
      <c r="U294" s="33">
        <v>11.1</v>
      </c>
      <c r="V294" s="26"/>
      <c r="W294" s="26"/>
      <c r="X294" s="26"/>
      <c r="Y294" s="26"/>
      <c r="Z294" s="26"/>
      <c r="AA294" s="26"/>
      <c r="AB294" s="26"/>
      <c r="AC294" s="26"/>
      <c r="AD294" s="26"/>
      <c r="AF294" s="37"/>
    </row>
    <row r="295" spans="12:32" x14ac:dyDescent="0.15">
      <c r="L295" s="37">
        <v>291</v>
      </c>
      <c r="M295">
        <v>2016.02</v>
      </c>
      <c r="N295" s="26">
        <v>270621</v>
      </c>
      <c r="O295" s="26">
        <v>1</v>
      </c>
      <c r="P295" s="26">
        <v>245</v>
      </c>
      <c r="Q295" s="26">
        <v>32</v>
      </c>
      <c r="R295" s="26">
        <v>4.91</v>
      </c>
      <c r="S295" s="26">
        <v>3.59</v>
      </c>
      <c r="T295" s="26">
        <v>9.26</v>
      </c>
      <c r="U295" s="33">
        <v>12</v>
      </c>
      <c r="V295" s="26"/>
      <c r="W295" s="26"/>
      <c r="X295" s="26"/>
      <c r="Y295" s="26"/>
      <c r="Z295" s="26"/>
      <c r="AA295" s="26"/>
      <c r="AB295" s="26"/>
      <c r="AC295" s="26"/>
      <c r="AD295" s="26"/>
      <c r="AF295" s="37"/>
    </row>
    <row r="296" spans="12:32" x14ac:dyDescent="0.15">
      <c r="L296" s="37">
        <v>292</v>
      </c>
      <c r="M296">
        <v>2016.02</v>
      </c>
      <c r="N296" s="26">
        <v>270616</v>
      </c>
      <c r="O296" s="26">
        <v>1</v>
      </c>
      <c r="P296" s="26">
        <v>250</v>
      </c>
      <c r="Q296" s="26">
        <v>31.7</v>
      </c>
      <c r="R296" s="26">
        <v>4.22</v>
      </c>
      <c r="S296" s="26">
        <v>3.46</v>
      </c>
      <c r="T296" s="26">
        <v>9.01</v>
      </c>
      <c r="U296" s="33">
        <v>6.5</v>
      </c>
      <c r="V296" s="26"/>
      <c r="W296" s="26"/>
      <c r="X296" s="26"/>
      <c r="Y296" s="26"/>
      <c r="Z296" s="26"/>
      <c r="AA296" s="26"/>
      <c r="AB296" s="26"/>
      <c r="AC296" s="26"/>
      <c r="AD296" s="26"/>
      <c r="AF296" s="37"/>
    </row>
    <row r="297" spans="12:32" x14ac:dyDescent="0.15">
      <c r="L297" s="37">
        <v>293</v>
      </c>
      <c r="M297">
        <v>2016.02</v>
      </c>
      <c r="N297" s="26">
        <v>270614</v>
      </c>
      <c r="O297" s="26">
        <v>1</v>
      </c>
      <c r="P297" s="26">
        <v>252</v>
      </c>
      <c r="Q297" s="26">
        <v>38</v>
      </c>
      <c r="R297" s="26">
        <v>3.47</v>
      </c>
      <c r="S297" s="26">
        <v>3.18</v>
      </c>
      <c r="T297" s="26">
        <v>8.84</v>
      </c>
      <c r="U297" s="33">
        <v>10.4</v>
      </c>
      <c r="V297" s="26"/>
      <c r="W297" s="26"/>
      <c r="X297" s="26"/>
      <c r="Y297" s="26"/>
      <c r="Z297" s="26"/>
      <c r="AA297" s="26"/>
      <c r="AB297" s="26"/>
      <c r="AC297" s="26"/>
      <c r="AD297" s="26"/>
      <c r="AF297" s="37"/>
    </row>
    <row r="298" spans="12:32" x14ac:dyDescent="0.15">
      <c r="L298" s="37">
        <v>294</v>
      </c>
      <c r="M298">
        <v>2016.02</v>
      </c>
      <c r="N298" s="26">
        <v>270613</v>
      </c>
      <c r="O298" s="26">
        <v>1</v>
      </c>
      <c r="P298" s="26">
        <v>253</v>
      </c>
      <c r="Q298" s="26">
        <v>19</v>
      </c>
      <c r="R298" s="26">
        <v>4.26</v>
      </c>
      <c r="S298" s="26">
        <v>3.38</v>
      </c>
      <c r="T298" s="26">
        <v>8.92</v>
      </c>
      <c r="U298" s="33">
        <v>8</v>
      </c>
      <c r="V298" s="26"/>
      <c r="W298" s="26"/>
      <c r="X298" s="26"/>
      <c r="Y298" s="26"/>
      <c r="Z298" s="26"/>
      <c r="AA298" s="26"/>
      <c r="AB298" s="26"/>
      <c r="AC298" s="26"/>
      <c r="AD298" s="26"/>
      <c r="AF298" s="37"/>
    </row>
    <row r="299" spans="12:32" x14ac:dyDescent="0.15">
      <c r="L299" s="37">
        <v>295</v>
      </c>
      <c r="M299">
        <v>2016.02</v>
      </c>
      <c r="N299" s="26">
        <v>270611</v>
      </c>
      <c r="O299" s="26">
        <v>1</v>
      </c>
      <c r="P299" s="26">
        <v>255</v>
      </c>
      <c r="Q299" s="26">
        <v>28.2</v>
      </c>
      <c r="R299" s="26">
        <v>4.01</v>
      </c>
      <c r="S299" s="26">
        <v>3.34</v>
      </c>
      <c r="T299" s="26">
        <v>8.6</v>
      </c>
      <c r="U299" s="33">
        <v>8.3000000000000007</v>
      </c>
      <c r="V299" s="26"/>
      <c r="W299" s="26"/>
      <c r="X299" s="26"/>
      <c r="Y299" s="26"/>
      <c r="Z299" s="26"/>
      <c r="AA299" s="26"/>
      <c r="AB299" s="26"/>
      <c r="AC299" s="26"/>
      <c r="AD299" s="26"/>
      <c r="AF299" s="37"/>
    </row>
    <row r="300" spans="12:32" x14ac:dyDescent="0.15">
      <c r="L300" s="37">
        <v>296</v>
      </c>
      <c r="M300">
        <v>2016.02</v>
      </c>
      <c r="N300" s="26">
        <v>270609</v>
      </c>
      <c r="O300" s="26">
        <v>1</v>
      </c>
      <c r="P300" s="26">
        <v>257</v>
      </c>
      <c r="Q300" s="26">
        <v>28</v>
      </c>
      <c r="R300" s="26">
        <v>3.83</v>
      </c>
      <c r="S300" s="26">
        <v>3.34</v>
      </c>
      <c r="T300" s="26">
        <v>8.93</v>
      </c>
      <c r="U300" s="33">
        <v>12.8</v>
      </c>
      <c r="V300" s="26"/>
      <c r="W300" s="26"/>
      <c r="X300" s="26"/>
      <c r="Y300" s="26"/>
      <c r="Z300" s="26"/>
      <c r="AA300" s="26"/>
      <c r="AB300" s="26"/>
      <c r="AC300" s="26"/>
      <c r="AD300" s="26"/>
      <c r="AF300" s="37"/>
    </row>
    <row r="301" spans="12:32" x14ac:dyDescent="0.15">
      <c r="L301" s="37">
        <v>297</v>
      </c>
      <c r="M301">
        <v>2016.02</v>
      </c>
      <c r="N301" s="26">
        <v>270608</v>
      </c>
      <c r="O301" s="26">
        <v>1</v>
      </c>
      <c r="P301" s="26">
        <v>258</v>
      </c>
      <c r="Q301" s="26">
        <v>27.2</v>
      </c>
      <c r="R301" s="26">
        <v>4.97</v>
      </c>
      <c r="S301" s="26">
        <v>3.67</v>
      </c>
      <c r="T301" s="26">
        <v>9.2100000000000009</v>
      </c>
      <c r="U301" s="33">
        <v>5.6</v>
      </c>
      <c r="V301" s="26"/>
      <c r="W301" s="26"/>
      <c r="X301" s="26"/>
      <c r="Y301" s="26"/>
      <c r="Z301" s="26"/>
      <c r="AA301" s="26"/>
      <c r="AB301" s="26"/>
      <c r="AC301" s="26"/>
      <c r="AD301" s="26"/>
      <c r="AF301" s="37"/>
    </row>
    <row r="302" spans="12:32" x14ac:dyDescent="0.15">
      <c r="L302" s="37">
        <v>298</v>
      </c>
      <c r="M302">
        <v>2016.02</v>
      </c>
      <c r="N302" s="26">
        <v>270608</v>
      </c>
      <c r="O302" s="26">
        <v>1</v>
      </c>
      <c r="P302" s="26">
        <v>258</v>
      </c>
      <c r="Q302" s="26">
        <v>24.6</v>
      </c>
      <c r="R302" s="26">
        <v>4.3099999999999996</v>
      </c>
      <c r="S302" s="26">
        <v>3.45</v>
      </c>
      <c r="T302" s="26">
        <v>8.98</v>
      </c>
      <c r="U302" s="33">
        <v>7.3</v>
      </c>
      <c r="V302" s="26"/>
      <c r="W302" s="26"/>
      <c r="X302" s="26"/>
      <c r="Y302" s="26"/>
      <c r="Z302" s="26"/>
      <c r="AA302" s="26"/>
      <c r="AB302" s="26"/>
      <c r="AC302" s="26"/>
      <c r="AD302" s="26"/>
      <c r="AF302" s="37"/>
    </row>
    <row r="303" spans="12:32" x14ac:dyDescent="0.15">
      <c r="L303" s="37">
        <v>299</v>
      </c>
      <c r="M303">
        <v>2016.02</v>
      </c>
      <c r="N303" s="26">
        <v>270605</v>
      </c>
      <c r="O303" s="26">
        <v>1</v>
      </c>
      <c r="P303" s="26">
        <v>261</v>
      </c>
      <c r="Q303" s="26">
        <v>33.5</v>
      </c>
      <c r="R303" s="26">
        <v>4.4000000000000004</v>
      </c>
      <c r="S303" s="26">
        <v>3.43</v>
      </c>
      <c r="T303" s="26">
        <v>9</v>
      </c>
      <c r="U303" s="33">
        <v>9.9</v>
      </c>
      <c r="V303" s="26"/>
      <c r="W303" s="26"/>
      <c r="X303" s="26"/>
      <c r="Y303" s="26"/>
      <c r="Z303" s="26"/>
      <c r="AA303" s="26"/>
      <c r="AB303" s="26"/>
      <c r="AC303" s="26"/>
      <c r="AD303" s="26"/>
      <c r="AF303" s="37"/>
    </row>
    <row r="304" spans="12:32" x14ac:dyDescent="0.15">
      <c r="L304" s="37">
        <v>300</v>
      </c>
      <c r="M304">
        <v>2016.02</v>
      </c>
      <c r="N304" s="26">
        <v>270516</v>
      </c>
      <c r="O304" s="26">
        <v>1</v>
      </c>
      <c r="P304" s="26">
        <v>281</v>
      </c>
      <c r="Q304" s="26">
        <v>21</v>
      </c>
      <c r="R304" s="26">
        <v>4.41</v>
      </c>
      <c r="S304" s="26">
        <v>3.49</v>
      </c>
      <c r="T304" s="26">
        <v>9.1300000000000008</v>
      </c>
      <c r="U304" s="33">
        <v>12.1</v>
      </c>
      <c r="V304" s="26"/>
      <c r="W304" s="26"/>
      <c r="X304" s="26"/>
      <c r="Y304" s="26"/>
      <c r="Z304" s="26"/>
      <c r="AA304" s="26"/>
      <c r="AB304" s="26"/>
      <c r="AC304" s="26"/>
      <c r="AD304" s="26"/>
      <c r="AF304" s="37"/>
    </row>
    <row r="305" spans="12:32" x14ac:dyDescent="0.15">
      <c r="L305" s="37">
        <v>301</v>
      </c>
      <c r="M305">
        <v>2016.02</v>
      </c>
      <c r="N305" s="26">
        <v>270507</v>
      </c>
      <c r="O305" s="26">
        <v>1</v>
      </c>
      <c r="P305" s="26">
        <v>290</v>
      </c>
      <c r="Q305" s="26">
        <v>28.5</v>
      </c>
      <c r="R305" s="26">
        <v>3.84</v>
      </c>
      <c r="S305" s="26">
        <v>3.34</v>
      </c>
      <c r="T305" s="26">
        <v>8.8000000000000007</v>
      </c>
      <c r="U305" s="33">
        <v>9.1999999999999993</v>
      </c>
      <c r="V305" s="26"/>
      <c r="W305" s="26"/>
      <c r="X305" s="26"/>
      <c r="Y305" s="26"/>
      <c r="Z305" s="26"/>
      <c r="AA305" s="26"/>
      <c r="AB305" s="26"/>
      <c r="AC305" s="26"/>
      <c r="AD305" s="26"/>
      <c r="AF305" s="37"/>
    </row>
    <row r="306" spans="12:32" x14ac:dyDescent="0.15">
      <c r="L306" s="37">
        <v>302</v>
      </c>
      <c r="M306">
        <v>2016.02</v>
      </c>
      <c r="N306" s="26">
        <v>270505</v>
      </c>
      <c r="O306" s="26">
        <v>1</v>
      </c>
      <c r="P306" s="26">
        <v>292</v>
      </c>
      <c r="Q306" s="26">
        <v>32.200000000000003</v>
      </c>
      <c r="R306" s="26">
        <v>2.91</v>
      </c>
      <c r="S306" s="26">
        <v>3.42</v>
      </c>
      <c r="T306" s="26">
        <v>9</v>
      </c>
      <c r="U306" s="33">
        <v>11</v>
      </c>
      <c r="V306" s="26"/>
      <c r="W306" s="26"/>
      <c r="X306" s="26"/>
      <c r="Y306" s="26"/>
      <c r="Z306" s="26"/>
      <c r="AA306" s="26"/>
      <c r="AB306" s="26"/>
      <c r="AC306" s="26"/>
      <c r="AD306" s="26"/>
      <c r="AF306" s="37"/>
    </row>
    <row r="307" spans="12:32" x14ac:dyDescent="0.15">
      <c r="L307" s="37">
        <v>303</v>
      </c>
      <c r="M307">
        <v>2016.03</v>
      </c>
      <c r="N307" s="26">
        <v>271121</v>
      </c>
      <c r="O307" s="26">
        <v>1</v>
      </c>
      <c r="P307" s="26">
        <v>118</v>
      </c>
      <c r="Q307" s="26">
        <v>35.700000000000003</v>
      </c>
      <c r="R307" s="26">
        <v>3.19</v>
      </c>
      <c r="S307" s="26">
        <v>3.23</v>
      </c>
      <c r="T307" s="26">
        <v>8.83</v>
      </c>
      <c r="U307" s="33">
        <v>12.2</v>
      </c>
      <c r="V307" s="26"/>
      <c r="W307" s="26"/>
      <c r="X307" s="26"/>
      <c r="Y307" s="26"/>
      <c r="Z307" s="26"/>
      <c r="AA307" s="26"/>
      <c r="AB307" s="26"/>
      <c r="AC307" s="26"/>
      <c r="AD307" s="26"/>
      <c r="AF307" s="37"/>
    </row>
    <row r="308" spans="12:32" x14ac:dyDescent="0.15">
      <c r="L308" s="37">
        <v>304</v>
      </c>
      <c r="M308">
        <v>2016.03</v>
      </c>
      <c r="N308" s="26">
        <v>271118</v>
      </c>
      <c r="O308" s="26">
        <v>1</v>
      </c>
      <c r="P308" s="26">
        <v>121</v>
      </c>
      <c r="Q308" s="26">
        <v>23.6</v>
      </c>
      <c r="R308" s="26">
        <v>3.3</v>
      </c>
      <c r="S308" s="26">
        <v>3.57</v>
      </c>
      <c r="T308" s="26">
        <v>9.02</v>
      </c>
      <c r="U308" s="33">
        <v>8.6</v>
      </c>
      <c r="V308" s="26"/>
      <c r="W308" s="26"/>
      <c r="X308" s="26"/>
      <c r="Y308" s="26"/>
      <c r="Z308" s="26"/>
      <c r="AA308" s="26"/>
      <c r="AB308" s="26"/>
      <c r="AC308" s="26"/>
      <c r="AD308" s="26"/>
      <c r="AF308" s="37"/>
    </row>
    <row r="309" spans="12:32" x14ac:dyDescent="0.15">
      <c r="L309" s="37">
        <v>305</v>
      </c>
      <c r="M309">
        <v>2016.03</v>
      </c>
      <c r="N309" s="26">
        <v>271109</v>
      </c>
      <c r="O309" s="26">
        <v>1</v>
      </c>
      <c r="P309" s="26">
        <v>130</v>
      </c>
      <c r="Q309" s="26">
        <v>29.2</v>
      </c>
      <c r="R309" s="26">
        <v>3.2</v>
      </c>
      <c r="S309" s="26">
        <v>3.07</v>
      </c>
      <c r="T309" s="26">
        <v>8.43</v>
      </c>
      <c r="U309" s="33">
        <v>9.1</v>
      </c>
      <c r="V309" s="26"/>
      <c r="W309" s="26"/>
      <c r="X309" s="26"/>
      <c r="Y309" s="26"/>
      <c r="Z309" s="26"/>
      <c r="AA309" s="26"/>
      <c r="AB309" s="26"/>
      <c r="AC309" s="26"/>
      <c r="AD309" s="26"/>
      <c r="AF309" s="37"/>
    </row>
    <row r="310" spans="12:32" x14ac:dyDescent="0.15">
      <c r="L310" s="37">
        <v>306</v>
      </c>
      <c r="M310">
        <v>2016.03</v>
      </c>
      <c r="N310" s="26">
        <v>271015</v>
      </c>
      <c r="O310" s="26">
        <v>1</v>
      </c>
      <c r="P310" s="26">
        <v>155</v>
      </c>
      <c r="Q310" s="26">
        <v>38.799999999999997</v>
      </c>
      <c r="R310" s="26">
        <v>3.48</v>
      </c>
      <c r="S310" s="26">
        <v>3.07</v>
      </c>
      <c r="T310" s="26">
        <v>8.64</v>
      </c>
      <c r="U310" s="33">
        <v>13.1</v>
      </c>
      <c r="V310" s="26"/>
      <c r="W310" s="26"/>
      <c r="X310" s="26"/>
      <c r="Y310" s="26"/>
      <c r="Z310" s="26"/>
      <c r="AA310" s="26"/>
      <c r="AB310" s="26"/>
      <c r="AC310" s="26"/>
      <c r="AD310" s="26"/>
      <c r="AF310" s="37"/>
    </row>
    <row r="311" spans="12:32" x14ac:dyDescent="0.15">
      <c r="L311" s="37">
        <v>307</v>
      </c>
      <c r="M311">
        <v>2016.03</v>
      </c>
      <c r="N311" s="26">
        <v>271005</v>
      </c>
      <c r="O311" s="26">
        <v>1</v>
      </c>
      <c r="P311" s="26">
        <v>165</v>
      </c>
      <c r="Q311" s="26">
        <v>29.6</v>
      </c>
      <c r="R311" s="26">
        <v>4.33</v>
      </c>
      <c r="S311" s="26">
        <v>3.59</v>
      </c>
      <c r="T311" s="26">
        <v>9.2799999999999994</v>
      </c>
      <c r="U311" s="33">
        <v>7.8</v>
      </c>
      <c r="V311" s="26"/>
      <c r="W311" s="26"/>
      <c r="X311" s="26"/>
      <c r="Y311" s="26"/>
      <c r="Z311" s="26"/>
      <c r="AA311" s="26"/>
      <c r="AB311" s="26"/>
      <c r="AC311" s="26"/>
      <c r="AD311" s="26"/>
      <c r="AF311" s="37"/>
    </row>
    <row r="312" spans="12:32" x14ac:dyDescent="0.15">
      <c r="L312" s="37">
        <v>308</v>
      </c>
      <c r="M312">
        <v>2016.03</v>
      </c>
      <c r="N312" s="26">
        <v>271005</v>
      </c>
      <c r="O312" s="26">
        <v>1</v>
      </c>
      <c r="P312" s="26">
        <v>165</v>
      </c>
      <c r="Q312" s="26">
        <v>38.200000000000003</v>
      </c>
      <c r="R312" s="26">
        <v>3.01</v>
      </c>
      <c r="S312" s="26">
        <v>2.97</v>
      </c>
      <c r="T312" s="26">
        <v>8.4</v>
      </c>
      <c r="U312" s="33">
        <v>9.6</v>
      </c>
      <c r="V312" s="26"/>
      <c r="W312" s="26"/>
      <c r="X312" s="26"/>
      <c r="Y312" s="26"/>
      <c r="Z312" s="26"/>
      <c r="AA312" s="26"/>
      <c r="AB312" s="26"/>
      <c r="AC312" s="26"/>
      <c r="AD312" s="26"/>
      <c r="AF312" s="37"/>
    </row>
    <row r="313" spans="12:32" x14ac:dyDescent="0.15">
      <c r="L313" s="37">
        <v>309</v>
      </c>
      <c r="M313">
        <v>2016.03</v>
      </c>
      <c r="N313" s="26">
        <v>270923</v>
      </c>
      <c r="O313" s="26">
        <v>1</v>
      </c>
      <c r="P313" s="26">
        <v>177</v>
      </c>
      <c r="Q313" s="26">
        <v>32</v>
      </c>
      <c r="R313" s="26">
        <v>3.89</v>
      </c>
      <c r="S313" s="26">
        <v>3.32</v>
      </c>
      <c r="T313" s="26">
        <v>8.9499999999999993</v>
      </c>
      <c r="U313" s="33">
        <v>13.9</v>
      </c>
      <c r="V313" s="26"/>
      <c r="W313" s="26"/>
      <c r="X313" s="26"/>
      <c r="Y313" s="26"/>
      <c r="Z313" s="26"/>
      <c r="AA313" s="26"/>
      <c r="AB313" s="26"/>
      <c r="AC313" s="26"/>
      <c r="AD313" s="26"/>
      <c r="AF313" s="37"/>
    </row>
    <row r="314" spans="12:32" x14ac:dyDescent="0.15">
      <c r="L314" s="37">
        <v>310</v>
      </c>
      <c r="M314">
        <v>2016.03</v>
      </c>
      <c r="N314" s="26">
        <v>270911</v>
      </c>
      <c r="O314" s="26">
        <v>1</v>
      </c>
      <c r="P314" s="26">
        <v>189</v>
      </c>
      <c r="Q314" s="26">
        <v>35.200000000000003</v>
      </c>
      <c r="R314" s="26">
        <v>4.08</v>
      </c>
      <c r="S314" s="26">
        <v>3.41</v>
      </c>
      <c r="T314" s="26">
        <v>8.84</v>
      </c>
      <c r="U314" s="33">
        <v>10.5</v>
      </c>
      <c r="V314" s="26"/>
      <c r="W314" s="26"/>
      <c r="X314" s="26"/>
      <c r="Y314" s="26"/>
      <c r="Z314" s="26"/>
      <c r="AA314" s="26"/>
      <c r="AB314" s="26"/>
      <c r="AC314" s="26"/>
      <c r="AD314" s="26"/>
      <c r="AF314" s="37"/>
    </row>
    <row r="315" spans="12:32" x14ac:dyDescent="0.15">
      <c r="L315" s="37">
        <v>311</v>
      </c>
      <c r="M315">
        <v>2016.03</v>
      </c>
      <c r="N315" s="26">
        <v>270908</v>
      </c>
      <c r="O315" s="26">
        <v>1</v>
      </c>
      <c r="P315" s="26">
        <v>192</v>
      </c>
      <c r="Q315" s="26">
        <v>25.3</v>
      </c>
      <c r="R315" s="26">
        <v>4.71</v>
      </c>
      <c r="S315" s="26">
        <v>3.84</v>
      </c>
      <c r="T315" s="26">
        <v>9.4</v>
      </c>
      <c r="U315" s="33">
        <v>7.6</v>
      </c>
      <c r="V315" s="26"/>
      <c r="W315" s="26"/>
      <c r="X315" s="26"/>
      <c r="Y315" s="26"/>
      <c r="Z315" s="26"/>
      <c r="AA315" s="26"/>
      <c r="AB315" s="26"/>
      <c r="AC315" s="26"/>
      <c r="AD315" s="26"/>
      <c r="AF315" s="37"/>
    </row>
    <row r="316" spans="12:32" x14ac:dyDescent="0.15">
      <c r="L316" s="37">
        <v>312</v>
      </c>
      <c r="M316">
        <v>2016.03</v>
      </c>
      <c r="N316" s="26">
        <v>270901</v>
      </c>
      <c r="O316" s="26">
        <v>1</v>
      </c>
      <c r="P316" s="26">
        <v>199</v>
      </c>
      <c r="Q316" s="26">
        <v>35.200000000000003</v>
      </c>
      <c r="R316" s="26">
        <v>4.18</v>
      </c>
      <c r="S316" s="26">
        <v>3.35</v>
      </c>
      <c r="T316" s="26">
        <v>8.81</v>
      </c>
      <c r="U316" s="33">
        <v>11.1</v>
      </c>
      <c r="V316" s="26"/>
      <c r="W316" s="26"/>
      <c r="X316" s="26"/>
      <c r="Y316" s="26"/>
      <c r="Z316" s="26"/>
      <c r="AA316" s="26"/>
      <c r="AB316" s="26"/>
      <c r="AC316" s="26"/>
      <c r="AD316" s="26"/>
      <c r="AF316" s="37"/>
    </row>
    <row r="317" spans="12:32" x14ac:dyDescent="0.15">
      <c r="L317" s="37">
        <v>313</v>
      </c>
      <c r="M317">
        <v>2016.03</v>
      </c>
      <c r="N317" s="26">
        <v>270828</v>
      </c>
      <c r="O317" s="26">
        <v>1</v>
      </c>
      <c r="P317" s="26">
        <v>203</v>
      </c>
      <c r="Q317" s="26">
        <v>30.5</v>
      </c>
      <c r="R317" s="26">
        <v>4.63</v>
      </c>
      <c r="S317" s="26">
        <v>3.58</v>
      </c>
      <c r="T317" s="26">
        <v>9.33</v>
      </c>
      <c r="U317" s="33">
        <v>11.2</v>
      </c>
      <c r="V317" s="26"/>
      <c r="W317" s="26"/>
      <c r="X317" s="26"/>
      <c r="Y317" s="26"/>
      <c r="Z317" s="26"/>
      <c r="AA317" s="26"/>
      <c r="AB317" s="26"/>
      <c r="AC317" s="26"/>
      <c r="AD317" s="26"/>
      <c r="AF317" s="37"/>
    </row>
    <row r="318" spans="12:32" x14ac:dyDescent="0.15">
      <c r="L318" s="37">
        <v>314</v>
      </c>
      <c r="M318">
        <v>2016.03</v>
      </c>
      <c r="N318" s="26">
        <v>270821</v>
      </c>
      <c r="O318" s="26">
        <v>1</v>
      </c>
      <c r="P318" s="26">
        <v>210</v>
      </c>
      <c r="Q318" s="26">
        <v>32.4</v>
      </c>
      <c r="R318" s="26">
        <v>3.47</v>
      </c>
      <c r="S318" s="26">
        <v>3.2</v>
      </c>
      <c r="T318" s="26">
        <v>8.6999999999999993</v>
      </c>
      <c r="U318" s="33">
        <v>11.6</v>
      </c>
      <c r="V318" s="26"/>
      <c r="W318" s="26"/>
      <c r="X318" s="26"/>
      <c r="Y318" s="26"/>
      <c r="Z318" s="26"/>
      <c r="AA318" s="26"/>
      <c r="AB318" s="26"/>
      <c r="AC318" s="26"/>
      <c r="AD318" s="26"/>
      <c r="AF318" s="37"/>
    </row>
    <row r="319" spans="12:32" x14ac:dyDescent="0.15">
      <c r="L319" s="37">
        <v>315</v>
      </c>
      <c r="M319">
        <v>2016.03</v>
      </c>
      <c r="N319" s="26">
        <v>270804</v>
      </c>
      <c r="O319" s="26">
        <v>1</v>
      </c>
      <c r="P319" s="26">
        <v>227</v>
      </c>
      <c r="Q319" s="26">
        <v>33.6</v>
      </c>
      <c r="R319" s="26">
        <v>3.88</v>
      </c>
      <c r="S319" s="26">
        <v>3.58</v>
      </c>
      <c r="T319" s="26">
        <v>9.1300000000000008</v>
      </c>
      <c r="U319" s="33">
        <v>10.6</v>
      </c>
      <c r="V319" s="26"/>
      <c r="W319" s="26"/>
      <c r="X319" s="26"/>
      <c r="Y319" s="26"/>
      <c r="Z319" s="26"/>
      <c r="AA319" s="26"/>
      <c r="AB319" s="26"/>
      <c r="AC319" s="26"/>
      <c r="AD319" s="26"/>
      <c r="AF319" s="37"/>
    </row>
    <row r="320" spans="12:32" x14ac:dyDescent="0.15">
      <c r="L320" s="37">
        <v>316</v>
      </c>
      <c r="M320">
        <v>2016.03</v>
      </c>
      <c r="N320" s="26">
        <v>270729</v>
      </c>
      <c r="O320" s="26">
        <v>1</v>
      </c>
      <c r="P320" s="26">
        <v>233</v>
      </c>
      <c r="Q320" s="26">
        <v>28.9</v>
      </c>
      <c r="R320" s="26">
        <v>4.33</v>
      </c>
      <c r="S320" s="26">
        <v>3.55</v>
      </c>
      <c r="T320" s="26">
        <v>9.14</v>
      </c>
      <c r="U320" s="33">
        <v>12.7</v>
      </c>
      <c r="V320" s="26"/>
      <c r="W320" s="26"/>
      <c r="X320" s="26"/>
      <c r="Y320" s="26"/>
      <c r="Z320" s="26"/>
      <c r="AA320" s="26"/>
      <c r="AB320" s="26"/>
      <c r="AC320" s="26"/>
      <c r="AD320" s="26"/>
      <c r="AF320" s="37"/>
    </row>
    <row r="321" spans="12:32" x14ac:dyDescent="0.15">
      <c r="L321" s="37">
        <v>317</v>
      </c>
      <c r="M321">
        <v>2016.03</v>
      </c>
      <c r="N321" s="26">
        <v>270728</v>
      </c>
      <c r="O321" s="26">
        <v>1</v>
      </c>
      <c r="P321" s="26">
        <v>234</v>
      </c>
      <c r="Q321" s="26">
        <v>34</v>
      </c>
      <c r="R321" s="26">
        <v>3.61</v>
      </c>
      <c r="S321" s="26">
        <v>3.4</v>
      </c>
      <c r="T321" s="26">
        <v>8.91</v>
      </c>
      <c r="U321" s="33">
        <v>9.8000000000000007</v>
      </c>
      <c r="V321" s="26"/>
      <c r="W321" s="26"/>
      <c r="X321" s="26"/>
      <c r="Y321" s="26"/>
      <c r="Z321" s="26"/>
      <c r="AA321" s="26"/>
      <c r="AB321" s="26"/>
      <c r="AC321" s="26"/>
      <c r="AD321" s="26"/>
      <c r="AF321" s="37"/>
    </row>
    <row r="322" spans="12:32" x14ac:dyDescent="0.15">
      <c r="L322" s="37">
        <v>318</v>
      </c>
      <c r="M322">
        <v>2016.03</v>
      </c>
      <c r="N322" s="26">
        <v>270728</v>
      </c>
      <c r="O322" s="26">
        <v>1</v>
      </c>
      <c r="P322" s="26">
        <v>234</v>
      </c>
      <c r="Q322" s="26">
        <v>35.200000000000003</v>
      </c>
      <c r="R322" s="26">
        <v>3.05</v>
      </c>
      <c r="S322" s="26">
        <v>3</v>
      </c>
      <c r="T322" s="26">
        <v>8.6300000000000008</v>
      </c>
      <c r="U322" s="33">
        <v>10.199999999999999</v>
      </c>
      <c r="V322" s="26"/>
      <c r="W322" s="26"/>
      <c r="X322" s="26"/>
      <c r="Y322" s="26"/>
      <c r="Z322" s="26"/>
      <c r="AA322" s="26"/>
      <c r="AB322" s="26"/>
      <c r="AC322" s="26"/>
      <c r="AD322" s="26"/>
      <c r="AF322" s="37"/>
    </row>
    <row r="323" spans="12:32" x14ac:dyDescent="0.15">
      <c r="L323" s="37">
        <v>319</v>
      </c>
      <c r="M323">
        <v>2016.03</v>
      </c>
      <c r="N323" s="26">
        <v>270717</v>
      </c>
      <c r="O323" s="26">
        <v>1</v>
      </c>
      <c r="P323" s="26">
        <v>245</v>
      </c>
      <c r="Q323" s="26">
        <v>19.600000000000001</v>
      </c>
      <c r="R323" s="26">
        <v>4.2</v>
      </c>
      <c r="S323" s="26">
        <v>3.18</v>
      </c>
      <c r="T323" s="26">
        <v>8.6300000000000008</v>
      </c>
      <c r="U323" s="33">
        <v>8.1</v>
      </c>
      <c r="V323" s="26"/>
      <c r="W323" s="26"/>
      <c r="X323" s="26"/>
      <c r="Y323" s="26"/>
      <c r="Z323" s="26"/>
      <c r="AA323" s="26"/>
      <c r="AB323" s="26"/>
      <c r="AC323" s="26"/>
      <c r="AD323" s="26"/>
      <c r="AF323" s="37"/>
    </row>
    <row r="324" spans="12:32" x14ac:dyDescent="0.15">
      <c r="L324" s="37">
        <v>320</v>
      </c>
      <c r="M324">
        <v>2016.03</v>
      </c>
      <c r="N324" s="26">
        <v>270715</v>
      </c>
      <c r="O324" s="26">
        <v>1</v>
      </c>
      <c r="P324" s="26">
        <v>247</v>
      </c>
      <c r="Q324" s="26">
        <v>17.7</v>
      </c>
      <c r="R324" s="26">
        <v>5.0199999999999996</v>
      </c>
      <c r="S324" s="26">
        <v>3.77</v>
      </c>
      <c r="T324" s="26">
        <v>9.39</v>
      </c>
      <c r="U324" s="33">
        <v>11.7</v>
      </c>
      <c r="V324" s="26"/>
      <c r="W324" s="26"/>
      <c r="X324" s="26"/>
      <c r="Y324" s="26"/>
      <c r="Z324" s="26"/>
      <c r="AA324" s="26"/>
      <c r="AB324" s="26"/>
      <c r="AC324" s="26"/>
      <c r="AD324" s="26"/>
      <c r="AF324" s="37"/>
    </row>
    <row r="325" spans="12:32" x14ac:dyDescent="0.15">
      <c r="L325" s="37">
        <v>321</v>
      </c>
      <c r="M325">
        <v>2016.03</v>
      </c>
      <c r="N325" s="26">
        <v>270713</v>
      </c>
      <c r="O325" s="26">
        <v>1</v>
      </c>
      <c r="P325" s="26">
        <v>249</v>
      </c>
      <c r="Q325" s="26">
        <v>11.2</v>
      </c>
      <c r="R325" s="26">
        <v>7.33</v>
      </c>
      <c r="S325" s="26">
        <v>3.78</v>
      </c>
      <c r="T325" s="26">
        <v>9.3000000000000007</v>
      </c>
      <c r="U325" s="33">
        <v>14.5</v>
      </c>
      <c r="V325" s="26"/>
      <c r="W325" s="26"/>
      <c r="X325" s="26"/>
      <c r="Y325" s="26"/>
      <c r="Z325" s="26"/>
      <c r="AA325" s="26"/>
      <c r="AB325" s="26"/>
      <c r="AC325" s="26"/>
      <c r="AD325" s="26"/>
      <c r="AF325" s="37"/>
    </row>
    <row r="326" spans="12:32" x14ac:dyDescent="0.15">
      <c r="L326" s="37">
        <v>322</v>
      </c>
      <c r="M326">
        <v>2016.03</v>
      </c>
      <c r="N326" s="26">
        <v>270707</v>
      </c>
      <c r="O326" s="26">
        <v>1</v>
      </c>
      <c r="P326" s="26">
        <v>255</v>
      </c>
      <c r="Q326" s="26">
        <v>19.100000000000001</v>
      </c>
      <c r="R326" s="26">
        <v>4.82</v>
      </c>
      <c r="S326" s="26">
        <v>4.2</v>
      </c>
      <c r="T326" s="26">
        <v>9.81</v>
      </c>
      <c r="U326" s="33">
        <v>13.2</v>
      </c>
      <c r="V326" s="26"/>
      <c r="W326" s="26"/>
      <c r="X326" s="26"/>
      <c r="Y326" s="26"/>
      <c r="Z326" s="26"/>
      <c r="AA326" s="26"/>
      <c r="AB326" s="26"/>
      <c r="AC326" s="26"/>
      <c r="AD326" s="26"/>
      <c r="AF326" s="37"/>
    </row>
    <row r="327" spans="12:32" x14ac:dyDescent="0.15">
      <c r="L327" s="37">
        <v>323</v>
      </c>
      <c r="M327">
        <v>2016.03</v>
      </c>
      <c r="N327" s="26">
        <v>270705</v>
      </c>
      <c r="O327" s="26">
        <v>1</v>
      </c>
      <c r="P327" s="26">
        <v>257</v>
      </c>
      <c r="Q327" s="26">
        <v>31.8</v>
      </c>
      <c r="R327" s="26">
        <v>3.14</v>
      </c>
      <c r="S327" s="26">
        <v>3.13</v>
      </c>
      <c r="T327" s="26">
        <v>8.25</v>
      </c>
      <c r="U327" s="33">
        <v>8.6999999999999993</v>
      </c>
      <c r="V327" s="26"/>
      <c r="W327" s="26"/>
      <c r="X327" s="26"/>
      <c r="Y327" s="26"/>
      <c r="Z327" s="26"/>
      <c r="AA327" s="26"/>
      <c r="AB327" s="26"/>
      <c r="AC327" s="26"/>
      <c r="AD327" s="26"/>
      <c r="AF327" s="37"/>
    </row>
    <row r="328" spans="12:32" x14ac:dyDescent="0.15">
      <c r="L328" s="37">
        <v>324</v>
      </c>
      <c r="M328">
        <v>2016.03</v>
      </c>
      <c r="N328" s="26">
        <v>270705</v>
      </c>
      <c r="O328" s="26">
        <v>1</v>
      </c>
      <c r="P328" s="26">
        <v>257</v>
      </c>
      <c r="Q328" s="26">
        <v>29.8</v>
      </c>
      <c r="R328" s="26">
        <v>3.45</v>
      </c>
      <c r="S328" s="26">
        <v>3.72</v>
      </c>
      <c r="T328" s="26">
        <v>9.1999999999999993</v>
      </c>
      <c r="U328" s="33">
        <v>9.5</v>
      </c>
      <c r="V328" s="26"/>
      <c r="W328" s="26"/>
      <c r="X328" s="26"/>
      <c r="Y328" s="26"/>
      <c r="Z328" s="26"/>
      <c r="AA328" s="26"/>
      <c r="AB328" s="26"/>
      <c r="AC328" s="26"/>
      <c r="AD328" s="26"/>
      <c r="AF328" s="37"/>
    </row>
    <row r="329" spans="12:32" x14ac:dyDescent="0.15">
      <c r="L329" s="37">
        <v>325</v>
      </c>
      <c r="M329">
        <v>2016.03</v>
      </c>
      <c r="N329" s="26">
        <v>270703</v>
      </c>
      <c r="O329" s="26">
        <v>1</v>
      </c>
      <c r="P329" s="26">
        <v>259</v>
      </c>
      <c r="Q329" s="26">
        <v>30.7</v>
      </c>
      <c r="R329" s="26">
        <v>4.13</v>
      </c>
      <c r="S329" s="26">
        <v>3.22</v>
      </c>
      <c r="T329" s="26">
        <v>8.73</v>
      </c>
      <c r="U329" s="33">
        <v>10.3</v>
      </c>
      <c r="V329" s="26"/>
      <c r="W329" s="26"/>
      <c r="X329" s="26"/>
      <c r="Y329" s="26"/>
      <c r="Z329" s="26"/>
      <c r="AA329" s="26"/>
      <c r="AB329" s="26"/>
      <c r="AC329" s="26"/>
      <c r="AD329" s="26"/>
      <c r="AF329" s="37"/>
    </row>
    <row r="330" spans="12:32" x14ac:dyDescent="0.15">
      <c r="L330" s="37">
        <v>326</v>
      </c>
      <c r="M330">
        <v>2016.03</v>
      </c>
      <c r="N330" s="26">
        <v>270702</v>
      </c>
      <c r="O330" s="26">
        <v>1</v>
      </c>
      <c r="P330" s="26">
        <v>260</v>
      </c>
      <c r="Q330" s="26">
        <v>34.4</v>
      </c>
      <c r="R330" s="26">
        <v>4.17</v>
      </c>
      <c r="S330" s="26">
        <v>3.71</v>
      </c>
      <c r="T330" s="26">
        <v>9.57</v>
      </c>
      <c r="U330" s="33">
        <v>11.4</v>
      </c>
      <c r="V330" s="26"/>
      <c r="W330" s="26"/>
      <c r="X330" s="26"/>
      <c r="Y330" s="26"/>
      <c r="Z330" s="26"/>
      <c r="AA330" s="26"/>
      <c r="AB330" s="26"/>
      <c r="AC330" s="26"/>
      <c r="AD330" s="26"/>
      <c r="AF330" s="37"/>
    </row>
    <row r="331" spans="12:32" x14ac:dyDescent="0.15">
      <c r="L331" s="37">
        <v>327</v>
      </c>
      <c r="M331">
        <v>2016.03</v>
      </c>
      <c r="N331" s="26">
        <v>270628</v>
      </c>
      <c r="O331" s="26">
        <v>1</v>
      </c>
      <c r="P331" s="26">
        <v>264</v>
      </c>
      <c r="Q331" s="26">
        <v>32.299999999999997</v>
      </c>
      <c r="R331" s="26">
        <v>4.33</v>
      </c>
      <c r="S331" s="26">
        <v>3.91</v>
      </c>
      <c r="T331" s="26">
        <v>9.26</v>
      </c>
      <c r="U331" s="33">
        <v>7.2</v>
      </c>
      <c r="V331" s="26"/>
      <c r="W331" s="26"/>
      <c r="X331" s="26"/>
      <c r="Y331" s="26"/>
      <c r="Z331" s="26"/>
      <c r="AA331" s="26"/>
      <c r="AB331" s="26"/>
      <c r="AC331" s="26"/>
      <c r="AD331" s="26"/>
      <c r="AF331" s="37"/>
    </row>
    <row r="332" spans="12:32" x14ac:dyDescent="0.15">
      <c r="L332" s="37">
        <v>328</v>
      </c>
      <c r="M332">
        <v>2016.03</v>
      </c>
      <c r="N332" s="26">
        <v>270624</v>
      </c>
      <c r="O332" s="26">
        <v>1</v>
      </c>
      <c r="P332" s="26">
        <v>268</v>
      </c>
      <c r="Q332" s="26">
        <v>26.4</v>
      </c>
      <c r="R332" s="26">
        <v>4.88</v>
      </c>
      <c r="S332" s="26">
        <v>3.47</v>
      </c>
      <c r="T332" s="26">
        <v>9.09</v>
      </c>
      <c r="U332" s="33">
        <v>11.4</v>
      </c>
      <c r="V332" s="26"/>
      <c r="W332" s="26"/>
      <c r="X332" s="26"/>
      <c r="Y332" s="26"/>
      <c r="Z332" s="26"/>
      <c r="AA332" s="26"/>
      <c r="AB332" s="26"/>
      <c r="AC332" s="26"/>
      <c r="AD332" s="26"/>
      <c r="AF332" s="37"/>
    </row>
    <row r="333" spans="12:32" x14ac:dyDescent="0.15">
      <c r="L333" s="37">
        <v>329</v>
      </c>
      <c r="M333">
        <v>2016.03</v>
      </c>
      <c r="N333" s="26">
        <v>270624</v>
      </c>
      <c r="O333" s="26">
        <v>1</v>
      </c>
      <c r="P333" s="26">
        <v>268</v>
      </c>
      <c r="Q333" s="26">
        <v>35.799999999999997</v>
      </c>
      <c r="R333" s="26">
        <v>3.34</v>
      </c>
      <c r="S333" s="26">
        <v>3.46</v>
      </c>
      <c r="T333" s="26">
        <v>9.09</v>
      </c>
      <c r="U333" s="33">
        <v>11</v>
      </c>
      <c r="V333" s="26"/>
      <c r="W333" s="26"/>
      <c r="X333" s="26"/>
      <c r="Y333" s="26"/>
      <c r="Z333" s="26"/>
      <c r="AA333" s="26"/>
      <c r="AB333" s="26"/>
      <c r="AC333" s="26"/>
      <c r="AD333" s="26"/>
      <c r="AF333" s="37"/>
    </row>
    <row r="334" spans="12:32" x14ac:dyDescent="0.15">
      <c r="L334" s="37">
        <v>330</v>
      </c>
      <c r="M334">
        <v>2016.03</v>
      </c>
      <c r="N334" s="26">
        <v>270624</v>
      </c>
      <c r="O334" s="26">
        <v>1</v>
      </c>
      <c r="P334" s="26">
        <v>268</v>
      </c>
      <c r="Q334" s="26">
        <v>34.4</v>
      </c>
      <c r="R334" s="26">
        <v>3.4</v>
      </c>
      <c r="S334" s="26">
        <v>3.3</v>
      </c>
      <c r="T334" s="26">
        <v>8.8699999999999992</v>
      </c>
      <c r="U334" s="33">
        <v>10</v>
      </c>
      <c r="V334" s="26"/>
      <c r="W334" s="26"/>
      <c r="X334" s="26"/>
      <c r="Y334" s="26"/>
      <c r="Z334" s="26"/>
      <c r="AA334" s="26"/>
      <c r="AB334" s="26"/>
      <c r="AC334" s="26"/>
      <c r="AD334" s="26"/>
      <c r="AF334" s="37"/>
    </row>
    <row r="335" spans="12:32" x14ac:dyDescent="0.15">
      <c r="L335" s="37">
        <v>331</v>
      </c>
      <c r="M335">
        <v>2016.03</v>
      </c>
      <c r="N335" s="26">
        <v>270622</v>
      </c>
      <c r="O335" s="26">
        <v>1</v>
      </c>
      <c r="P335" s="26">
        <v>270</v>
      </c>
      <c r="Q335" s="26">
        <v>27.5</v>
      </c>
      <c r="R335" s="26">
        <v>3.76</v>
      </c>
      <c r="S335" s="26">
        <v>3.61</v>
      </c>
      <c r="T335" s="26">
        <v>9.17</v>
      </c>
      <c r="U335" s="33">
        <v>12.2</v>
      </c>
      <c r="V335" s="26"/>
      <c r="W335" s="26"/>
      <c r="X335" s="26"/>
      <c r="Y335" s="26"/>
      <c r="Z335" s="26"/>
      <c r="AA335" s="26"/>
      <c r="AB335" s="26"/>
      <c r="AC335" s="26"/>
      <c r="AD335" s="26"/>
      <c r="AF335" s="37"/>
    </row>
    <row r="336" spans="12:32" x14ac:dyDescent="0.15">
      <c r="L336" s="37">
        <v>332</v>
      </c>
      <c r="M336">
        <v>2016.03</v>
      </c>
      <c r="N336" s="26">
        <v>270621</v>
      </c>
      <c r="O336" s="26">
        <v>1</v>
      </c>
      <c r="P336" s="26">
        <v>271</v>
      </c>
      <c r="Q336" s="26">
        <v>27</v>
      </c>
      <c r="R336" s="26">
        <v>4.93</v>
      </c>
      <c r="S336" s="26">
        <v>3.64</v>
      </c>
      <c r="T336" s="26">
        <v>9.2200000000000006</v>
      </c>
      <c r="U336" s="33">
        <v>12.1</v>
      </c>
      <c r="V336" s="26"/>
      <c r="W336" s="26"/>
      <c r="X336" s="26"/>
      <c r="Y336" s="26"/>
      <c r="Z336" s="26"/>
      <c r="AA336" s="26"/>
      <c r="AB336" s="26"/>
      <c r="AC336" s="26"/>
      <c r="AD336" s="26"/>
      <c r="AF336" s="37"/>
    </row>
    <row r="337" spans="12:32" x14ac:dyDescent="0.15">
      <c r="L337" s="37">
        <v>333</v>
      </c>
      <c r="M337">
        <v>2016.03</v>
      </c>
      <c r="N337" s="26">
        <v>270616</v>
      </c>
      <c r="O337" s="26">
        <v>1</v>
      </c>
      <c r="P337" s="26">
        <v>276</v>
      </c>
      <c r="Q337" s="26">
        <v>29.7</v>
      </c>
      <c r="R337" s="26">
        <v>4.08</v>
      </c>
      <c r="S337" s="26">
        <v>3.62</v>
      </c>
      <c r="T337" s="26">
        <v>8.93</v>
      </c>
      <c r="U337" s="33">
        <v>9.3000000000000007</v>
      </c>
      <c r="V337" s="26"/>
      <c r="W337" s="26"/>
      <c r="X337" s="26"/>
      <c r="Y337" s="26"/>
      <c r="Z337" s="26"/>
      <c r="AA337" s="26"/>
      <c r="AB337" s="26"/>
      <c r="AC337" s="26"/>
      <c r="AD337" s="26"/>
      <c r="AF337" s="37"/>
    </row>
    <row r="338" spans="12:32" x14ac:dyDescent="0.15">
      <c r="L338" s="37">
        <v>334</v>
      </c>
      <c r="M338">
        <v>2016.03</v>
      </c>
      <c r="N338" s="26">
        <v>270614</v>
      </c>
      <c r="O338" s="26">
        <v>1</v>
      </c>
      <c r="P338" s="26">
        <v>278</v>
      </c>
      <c r="Q338" s="26">
        <v>36.9</v>
      </c>
      <c r="R338" s="26">
        <v>3.32</v>
      </c>
      <c r="S338" s="26">
        <v>3.31</v>
      </c>
      <c r="T338" s="26">
        <v>8.85</v>
      </c>
      <c r="U338" s="33">
        <v>10.9</v>
      </c>
      <c r="V338" s="26"/>
      <c r="W338" s="26"/>
      <c r="X338" s="26"/>
      <c r="Y338" s="26"/>
      <c r="Z338" s="26"/>
      <c r="AA338" s="26"/>
      <c r="AB338" s="26"/>
      <c r="AC338" s="26"/>
      <c r="AD338" s="26"/>
      <c r="AF338" s="37"/>
    </row>
    <row r="339" spans="12:32" x14ac:dyDescent="0.15">
      <c r="L339" s="37">
        <v>335</v>
      </c>
      <c r="M339">
        <v>2016.03</v>
      </c>
      <c r="N339" s="26">
        <v>270613</v>
      </c>
      <c r="O339" s="26">
        <v>1</v>
      </c>
      <c r="P339" s="26">
        <v>279</v>
      </c>
      <c r="Q339" s="26">
        <v>19.2</v>
      </c>
      <c r="R339" s="26">
        <v>4.7300000000000004</v>
      </c>
      <c r="S339" s="26">
        <v>3.62</v>
      </c>
      <c r="T339" s="26">
        <v>9.16</v>
      </c>
      <c r="U339" s="33">
        <v>8.3000000000000007</v>
      </c>
      <c r="V339" s="26"/>
      <c r="W339" s="26"/>
      <c r="X339" s="26"/>
      <c r="Y339" s="26"/>
      <c r="Z339" s="26"/>
      <c r="AA339" s="26"/>
      <c r="AB339" s="26"/>
      <c r="AC339" s="26"/>
      <c r="AD339" s="26"/>
      <c r="AF339" s="37"/>
    </row>
    <row r="340" spans="12:32" x14ac:dyDescent="0.15">
      <c r="L340" s="37">
        <v>336</v>
      </c>
      <c r="M340">
        <v>2016.03</v>
      </c>
      <c r="N340" s="26">
        <v>270611</v>
      </c>
      <c r="O340" s="26">
        <v>1</v>
      </c>
      <c r="P340" s="26">
        <v>281</v>
      </c>
      <c r="Q340" s="26">
        <v>25.7</v>
      </c>
      <c r="R340" s="26">
        <v>4</v>
      </c>
      <c r="S340" s="26">
        <v>3.39</v>
      </c>
      <c r="T340" s="26">
        <v>8.58</v>
      </c>
      <c r="U340" s="33">
        <v>10.3</v>
      </c>
      <c r="V340" s="26"/>
      <c r="W340" s="26"/>
      <c r="X340" s="26"/>
      <c r="Y340" s="26"/>
      <c r="Z340" s="26"/>
      <c r="AA340" s="26"/>
      <c r="AB340" s="26"/>
      <c r="AC340" s="26"/>
      <c r="AD340" s="26"/>
      <c r="AF340" s="37"/>
    </row>
    <row r="341" spans="12:32" x14ac:dyDescent="0.15">
      <c r="L341" s="37">
        <v>337</v>
      </c>
      <c r="M341">
        <v>2016.03</v>
      </c>
      <c r="N341" s="26">
        <v>270609</v>
      </c>
      <c r="O341" s="26">
        <v>1</v>
      </c>
      <c r="P341" s="26">
        <v>283</v>
      </c>
      <c r="Q341" s="26">
        <v>27.4</v>
      </c>
      <c r="R341" s="26">
        <v>3.67</v>
      </c>
      <c r="S341" s="26">
        <v>3.51</v>
      </c>
      <c r="T341" s="26">
        <v>8.9600000000000009</v>
      </c>
      <c r="U341" s="33">
        <v>14.4</v>
      </c>
      <c r="V341" s="26"/>
      <c r="W341" s="26"/>
      <c r="X341" s="26"/>
      <c r="Y341" s="26"/>
      <c r="Z341" s="26"/>
      <c r="AA341" s="26"/>
      <c r="AB341" s="26"/>
      <c r="AC341" s="26"/>
      <c r="AD341" s="26"/>
      <c r="AF341" s="37"/>
    </row>
    <row r="342" spans="12:32" x14ac:dyDescent="0.15">
      <c r="L342" s="37">
        <v>338</v>
      </c>
      <c r="M342">
        <v>2016.03</v>
      </c>
      <c r="N342" s="26">
        <v>270608</v>
      </c>
      <c r="O342" s="26">
        <v>1</v>
      </c>
      <c r="P342" s="26">
        <v>284</v>
      </c>
      <c r="Q342" s="26">
        <v>23.9</v>
      </c>
      <c r="R342" s="26">
        <v>4.37</v>
      </c>
      <c r="S342" s="26">
        <v>3.64</v>
      </c>
      <c r="T342" s="26">
        <v>9.0299999999999994</v>
      </c>
      <c r="U342" s="33">
        <v>9.5</v>
      </c>
      <c r="V342" s="26"/>
      <c r="W342" s="26"/>
      <c r="X342" s="26"/>
      <c r="Y342" s="26"/>
      <c r="Z342" s="26"/>
      <c r="AA342" s="26"/>
      <c r="AB342" s="26"/>
      <c r="AC342" s="26"/>
      <c r="AD342" s="26"/>
      <c r="AF342" s="37"/>
    </row>
    <row r="343" spans="12:32" x14ac:dyDescent="0.15">
      <c r="L343" s="37">
        <v>339</v>
      </c>
      <c r="M343">
        <v>2016.03</v>
      </c>
      <c r="N343" s="26">
        <v>270605</v>
      </c>
      <c r="O343" s="26">
        <v>1</v>
      </c>
      <c r="P343" s="26">
        <v>287</v>
      </c>
      <c r="Q343" s="26">
        <v>29.1</v>
      </c>
      <c r="R343" s="26">
        <v>4.54</v>
      </c>
      <c r="S343" s="26">
        <v>3.37</v>
      </c>
      <c r="T343" s="26">
        <v>8.89</v>
      </c>
      <c r="U343" s="33">
        <v>11</v>
      </c>
      <c r="V343" s="26"/>
      <c r="W343" s="26"/>
      <c r="X343" s="26"/>
      <c r="Y343" s="26"/>
      <c r="Z343" s="26"/>
      <c r="AA343" s="26"/>
      <c r="AB343" s="26"/>
      <c r="AC343" s="26"/>
      <c r="AD343" s="26"/>
      <c r="AF343" s="37"/>
    </row>
    <row r="344" spans="12:32" x14ac:dyDescent="0.15">
      <c r="L344" s="37">
        <v>340</v>
      </c>
      <c r="M344">
        <v>2016.11</v>
      </c>
      <c r="N344" s="26">
        <v>280810</v>
      </c>
      <c r="O344" s="26">
        <v>1</v>
      </c>
      <c r="P344" s="26">
        <v>101</v>
      </c>
      <c r="Q344" s="26">
        <v>17.899999999999999</v>
      </c>
      <c r="R344" s="26">
        <v>3.99</v>
      </c>
      <c r="S344" s="26">
        <v>3.67</v>
      </c>
      <c r="T344" s="26">
        <v>9.49</v>
      </c>
      <c r="U344" s="33">
        <v>10.6</v>
      </c>
      <c r="V344" s="26"/>
      <c r="W344" s="26"/>
      <c r="X344" s="26"/>
      <c r="Y344" s="26"/>
      <c r="Z344" s="26"/>
      <c r="AA344" s="26"/>
      <c r="AB344" s="26"/>
      <c r="AC344" s="26"/>
      <c r="AD344" s="26"/>
      <c r="AF344" s="37"/>
    </row>
    <row r="345" spans="12:32" x14ac:dyDescent="0.15">
      <c r="L345" s="37">
        <v>341</v>
      </c>
      <c r="M345">
        <v>2016.11</v>
      </c>
      <c r="N345" s="26">
        <v>280625</v>
      </c>
      <c r="O345" s="26">
        <v>1</v>
      </c>
      <c r="P345" s="26">
        <v>147</v>
      </c>
      <c r="Q345" s="26">
        <v>37.799999999999997</v>
      </c>
      <c r="R345" s="26">
        <v>3.67</v>
      </c>
      <c r="S345" s="26">
        <v>3.24</v>
      </c>
      <c r="T345" s="26">
        <v>8.59</v>
      </c>
      <c r="U345" s="33">
        <v>10.5</v>
      </c>
      <c r="V345" s="26"/>
      <c r="W345" s="26"/>
      <c r="X345" s="26"/>
      <c r="Y345" s="26"/>
      <c r="Z345" s="26"/>
      <c r="AA345" s="26"/>
      <c r="AB345" s="26"/>
      <c r="AC345" s="26"/>
      <c r="AD345" s="26"/>
      <c r="AF345" s="37"/>
    </row>
    <row r="346" spans="12:32" x14ac:dyDescent="0.15">
      <c r="L346" s="37">
        <v>342</v>
      </c>
      <c r="M346">
        <v>2016.11</v>
      </c>
      <c r="N346" s="26">
        <v>280602</v>
      </c>
      <c r="O346" s="26">
        <v>1</v>
      </c>
      <c r="P346" s="26">
        <v>170</v>
      </c>
      <c r="Q346" s="26">
        <v>39.1</v>
      </c>
      <c r="R346" s="26">
        <v>3.45</v>
      </c>
      <c r="S346" s="26">
        <v>3.16</v>
      </c>
      <c r="T346" s="26">
        <v>8.76</v>
      </c>
      <c r="U346" s="33">
        <v>7</v>
      </c>
      <c r="V346" s="26"/>
      <c r="W346" s="26"/>
      <c r="X346" s="26"/>
      <c r="Y346" s="26"/>
      <c r="Z346" s="26"/>
      <c r="AA346" s="26"/>
      <c r="AB346" s="26"/>
      <c r="AC346" s="26"/>
      <c r="AD346" s="26"/>
      <c r="AF346" s="37"/>
    </row>
    <row r="347" spans="12:32" x14ac:dyDescent="0.15">
      <c r="L347" s="37">
        <v>343</v>
      </c>
      <c r="M347">
        <v>2016.11</v>
      </c>
      <c r="N347" s="26">
        <v>280602</v>
      </c>
      <c r="O347" s="26">
        <v>1</v>
      </c>
      <c r="P347" s="26">
        <v>170</v>
      </c>
      <c r="Q347" s="26">
        <v>37.299999999999997</v>
      </c>
      <c r="R347" s="26">
        <v>3.81</v>
      </c>
      <c r="S347" s="26">
        <v>3.26</v>
      </c>
      <c r="T347" s="26">
        <v>8.9</v>
      </c>
      <c r="U347" s="33">
        <v>9.1999999999999993</v>
      </c>
      <c r="V347" s="26"/>
      <c r="W347" s="26"/>
      <c r="X347" s="26"/>
      <c r="Y347" s="26"/>
      <c r="Z347" s="26"/>
      <c r="AA347" s="26"/>
      <c r="AB347" s="26"/>
      <c r="AC347" s="26"/>
      <c r="AD347" s="26"/>
      <c r="AF347" s="37"/>
    </row>
    <row r="348" spans="12:32" x14ac:dyDescent="0.15">
      <c r="L348" s="37">
        <v>344</v>
      </c>
      <c r="M348">
        <v>2016.11</v>
      </c>
      <c r="N348" s="26">
        <v>280516</v>
      </c>
      <c r="O348" s="26">
        <v>1</v>
      </c>
      <c r="P348" s="26">
        <v>187</v>
      </c>
      <c r="Q348" s="26">
        <v>20.399999999999999</v>
      </c>
      <c r="R348" s="26">
        <v>4.21</v>
      </c>
      <c r="S348" s="26">
        <v>3.45</v>
      </c>
      <c r="T348" s="26">
        <v>9.0299999999999994</v>
      </c>
      <c r="U348" s="33">
        <v>15</v>
      </c>
      <c r="V348" s="26"/>
      <c r="W348" s="26"/>
      <c r="X348" s="26"/>
      <c r="Y348" s="26"/>
      <c r="Z348" s="26"/>
      <c r="AA348" s="26"/>
      <c r="AB348" s="26"/>
      <c r="AC348" s="26"/>
      <c r="AD348" s="26"/>
      <c r="AF348" s="37"/>
    </row>
    <row r="349" spans="12:32" x14ac:dyDescent="0.15">
      <c r="L349" s="37">
        <v>345</v>
      </c>
      <c r="M349">
        <v>2016.11</v>
      </c>
      <c r="N349" s="26">
        <v>280430</v>
      </c>
      <c r="O349" s="26">
        <v>1</v>
      </c>
      <c r="P349" s="26">
        <v>203</v>
      </c>
      <c r="Q349" s="26">
        <v>31.9</v>
      </c>
      <c r="R349" s="26">
        <v>2.93</v>
      </c>
      <c r="S349" s="26">
        <v>3.24</v>
      </c>
      <c r="T349" s="26">
        <v>8.68</v>
      </c>
      <c r="U349" s="33">
        <v>6.4</v>
      </c>
      <c r="V349" s="26"/>
      <c r="W349" s="26"/>
      <c r="X349" s="26"/>
      <c r="Y349" s="26"/>
      <c r="Z349" s="26"/>
      <c r="AA349" s="26"/>
      <c r="AB349" s="26"/>
      <c r="AC349" s="26"/>
      <c r="AD349" s="26"/>
      <c r="AF349" s="37"/>
    </row>
    <row r="350" spans="12:32" x14ac:dyDescent="0.15">
      <c r="L350" s="37">
        <v>346</v>
      </c>
      <c r="M350">
        <v>2016.11</v>
      </c>
      <c r="N350" s="26">
        <v>280423</v>
      </c>
      <c r="O350" s="26">
        <v>1</v>
      </c>
      <c r="P350" s="26">
        <v>210</v>
      </c>
      <c r="Q350" s="26">
        <v>36.299999999999997</v>
      </c>
      <c r="R350" s="26">
        <v>3.55</v>
      </c>
      <c r="S350" s="26">
        <v>3.09</v>
      </c>
      <c r="T350" s="26">
        <v>8.76</v>
      </c>
      <c r="U350" s="33">
        <v>6.8</v>
      </c>
      <c r="V350" s="26"/>
      <c r="W350" s="26"/>
      <c r="X350" s="26"/>
      <c r="Y350" s="26"/>
      <c r="Z350" s="26"/>
      <c r="AA350" s="26"/>
      <c r="AB350" s="26"/>
      <c r="AC350" s="26"/>
      <c r="AD350" s="26"/>
      <c r="AF350" s="37"/>
    </row>
    <row r="351" spans="12:32" x14ac:dyDescent="0.15">
      <c r="L351" s="37">
        <v>347</v>
      </c>
      <c r="M351">
        <v>2016.11</v>
      </c>
      <c r="N351" s="26">
        <v>280419</v>
      </c>
      <c r="O351" s="26">
        <v>1</v>
      </c>
      <c r="P351" s="26">
        <v>214</v>
      </c>
      <c r="Q351" s="26">
        <v>26.9</v>
      </c>
      <c r="R351" s="26">
        <v>3.03</v>
      </c>
      <c r="S351" s="26">
        <v>3.25</v>
      </c>
      <c r="T351" s="26">
        <v>8.84</v>
      </c>
      <c r="U351" s="33">
        <v>7.4</v>
      </c>
      <c r="V351" s="26"/>
      <c r="W351" s="26"/>
      <c r="X351" s="26"/>
      <c r="Y351" s="26"/>
      <c r="Z351" s="26"/>
      <c r="AA351" s="26"/>
      <c r="AB351" s="26"/>
      <c r="AC351" s="26"/>
      <c r="AD351" s="26"/>
      <c r="AF351" s="37"/>
    </row>
    <row r="352" spans="12:32" x14ac:dyDescent="0.15">
      <c r="L352" s="37">
        <v>348</v>
      </c>
      <c r="M352">
        <v>2016.11</v>
      </c>
      <c r="N352" s="26">
        <v>280418</v>
      </c>
      <c r="O352" s="26">
        <v>1</v>
      </c>
      <c r="P352" s="26">
        <v>215</v>
      </c>
      <c r="Q352" s="26">
        <v>35.299999999999997</v>
      </c>
      <c r="R352" s="26">
        <v>3.18</v>
      </c>
      <c r="S352" s="26">
        <v>3.3</v>
      </c>
      <c r="T352" s="26">
        <v>8.58</v>
      </c>
      <c r="U352" s="33">
        <v>7.6</v>
      </c>
      <c r="V352" s="26"/>
      <c r="W352" s="26"/>
      <c r="X352" s="26"/>
      <c r="Y352" s="26"/>
      <c r="Z352" s="26"/>
      <c r="AA352" s="26"/>
      <c r="AB352" s="26"/>
      <c r="AC352" s="26"/>
      <c r="AD352" s="26"/>
      <c r="AF352" s="37"/>
    </row>
    <row r="353" spans="12:32" x14ac:dyDescent="0.15">
      <c r="L353" s="37">
        <v>349</v>
      </c>
      <c r="M353">
        <v>2016.11</v>
      </c>
      <c r="N353" s="26">
        <v>280326</v>
      </c>
      <c r="O353" s="26">
        <v>1</v>
      </c>
      <c r="P353" s="26">
        <v>238</v>
      </c>
      <c r="Q353" s="26">
        <v>37.299999999999997</v>
      </c>
      <c r="R353" s="26">
        <v>4.08</v>
      </c>
      <c r="S353" s="26">
        <v>3.25</v>
      </c>
      <c r="T353" s="26">
        <v>8.94</v>
      </c>
      <c r="U353" s="33">
        <v>8.1999999999999993</v>
      </c>
      <c r="V353" s="26"/>
      <c r="W353" s="26"/>
      <c r="X353" s="26"/>
      <c r="Y353" s="26"/>
      <c r="Z353" s="26"/>
      <c r="AA353" s="26"/>
      <c r="AB353" s="26"/>
      <c r="AC353" s="26"/>
      <c r="AD353" s="26"/>
      <c r="AF353" s="37"/>
    </row>
    <row r="354" spans="12:32" x14ac:dyDescent="0.15">
      <c r="L354" s="37">
        <v>350</v>
      </c>
      <c r="M354">
        <v>2016.11</v>
      </c>
      <c r="N354" s="26">
        <v>280324</v>
      </c>
      <c r="O354" s="26">
        <v>1</v>
      </c>
      <c r="P354" s="26">
        <v>240</v>
      </c>
      <c r="Q354" s="26">
        <v>34.200000000000003</v>
      </c>
      <c r="R354" s="26">
        <v>3.76</v>
      </c>
      <c r="S354" s="26">
        <v>3.65</v>
      </c>
      <c r="T354" s="26">
        <v>9.2100000000000009</v>
      </c>
      <c r="U354" s="33">
        <v>9.3000000000000007</v>
      </c>
      <c r="V354" s="26"/>
      <c r="W354" s="26"/>
      <c r="X354" s="26"/>
      <c r="Y354" s="26"/>
      <c r="Z354" s="26"/>
      <c r="AA354" s="26"/>
      <c r="AB354" s="26"/>
      <c r="AC354" s="26"/>
      <c r="AD354" s="26"/>
      <c r="AF354" s="37"/>
    </row>
    <row r="355" spans="12:32" x14ac:dyDescent="0.15">
      <c r="L355" s="37">
        <v>351</v>
      </c>
      <c r="M355">
        <v>2016.11</v>
      </c>
      <c r="N355" s="26">
        <v>280211</v>
      </c>
      <c r="O355" s="26">
        <v>1</v>
      </c>
      <c r="P355" s="26">
        <v>282</v>
      </c>
      <c r="Q355" s="26">
        <v>23.1</v>
      </c>
      <c r="R355" s="26">
        <v>3.82</v>
      </c>
      <c r="S355" s="26">
        <v>3.8</v>
      </c>
      <c r="T355" s="26">
        <v>9.2799999999999994</v>
      </c>
      <c r="U355" s="33">
        <v>8.1</v>
      </c>
      <c r="V355" s="26"/>
      <c r="W355" s="26"/>
      <c r="X355" s="26"/>
      <c r="Y355" s="26"/>
      <c r="Z355" s="26"/>
      <c r="AA355" s="26"/>
      <c r="AB355" s="26"/>
      <c r="AC355" s="26"/>
      <c r="AD355" s="26"/>
      <c r="AF355" s="37"/>
    </row>
    <row r="356" spans="12:32" x14ac:dyDescent="0.15">
      <c r="L356" s="37">
        <v>352</v>
      </c>
      <c r="M356">
        <v>2016.11</v>
      </c>
      <c r="N356" s="26">
        <v>280211</v>
      </c>
      <c r="O356" s="26">
        <v>1</v>
      </c>
      <c r="P356" s="26">
        <v>282</v>
      </c>
      <c r="Q356" s="26">
        <v>24.6</v>
      </c>
      <c r="R356" s="26">
        <v>5.31</v>
      </c>
      <c r="S356" s="26">
        <v>4.33</v>
      </c>
      <c r="T356" s="26">
        <v>9.7200000000000006</v>
      </c>
      <c r="U356" s="33">
        <v>10.1</v>
      </c>
      <c r="V356" s="26"/>
      <c r="W356" s="26"/>
      <c r="X356" s="26"/>
      <c r="Y356" s="26"/>
      <c r="Z356" s="26"/>
      <c r="AA356" s="26"/>
      <c r="AB356" s="26"/>
      <c r="AC356" s="26"/>
      <c r="AD356" s="26"/>
      <c r="AF356" s="37"/>
    </row>
    <row r="357" spans="12:32" x14ac:dyDescent="0.15">
      <c r="L357" s="37">
        <v>353</v>
      </c>
      <c r="M357">
        <v>2016.11</v>
      </c>
      <c r="N357" s="26">
        <v>280131</v>
      </c>
      <c r="O357" s="26">
        <v>1</v>
      </c>
      <c r="P357" s="26">
        <v>293</v>
      </c>
      <c r="Q357" s="26">
        <v>39.9</v>
      </c>
      <c r="R357" s="26">
        <v>3.37</v>
      </c>
      <c r="S357" s="26">
        <v>3.07</v>
      </c>
      <c r="T357" s="26">
        <v>8.58</v>
      </c>
      <c r="U357" s="33">
        <v>10.4</v>
      </c>
      <c r="V357" s="26"/>
      <c r="W357" s="26"/>
      <c r="X357" s="26"/>
      <c r="Y357" s="26"/>
      <c r="Z357" s="26"/>
      <c r="AA357" s="26"/>
      <c r="AB357" s="26"/>
      <c r="AC357" s="26"/>
      <c r="AD357" s="26"/>
      <c r="AF357" s="37"/>
    </row>
    <row r="358" spans="12:32" x14ac:dyDescent="0.15">
      <c r="L358" s="37">
        <v>354</v>
      </c>
      <c r="M358">
        <v>2016.11</v>
      </c>
      <c r="N358" s="26">
        <v>280130</v>
      </c>
      <c r="O358" s="26">
        <v>1</v>
      </c>
      <c r="P358" s="26">
        <v>294</v>
      </c>
      <c r="Q358" s="26">
        <v>36.299999999999997</v>
      </c>
      <c r="R358" s="26">
        <v>3.54</v>
      </c>
      <c r="S358" s="26">
        <v>3.18</v>
      </c>
      <c r="T358" s="26">
        <v>8.7899999999999991</v>
      </c>
      <c r="U358" s="33">
        <v>9.9</v>
      </c>
      <c r="V358" s="26"/>
      <c r="W358" s="26"/>
      <c r="X358" s="26"/>
      <c r="Y358" s="26"/>
      <c r="Z358" s="26"/>
      <c r="AA358" s="26"/>
      <c r="AB358" s="26"/>
      <c r="AC358" s="26"/>
      <c r="AD358" s="26"/>
      <c r="AF358" s="37"/>
    </row>
    <row r="359" spans="12:32" x14ac:dyDescent="0.15">
      <c r="L359" s="37">
        <v>355</v>
      </c>
      <c r="M359">
        <v>2016.11</v>
      </c>
      <c r="N359" s="26">
        <v>280127</v>
      </c>
      <c r="O359" s="26">
        <v>1</v>
      </c>
      <c r="P359" s="26">
        <v>297</v>
      </c>
      <c r="Q359" s="26">
        <v>35.4</v>
      </c>
      <c r="R359" s="26">
        <v>3.48</v>
      </c>
      <c r="S359" s="26">
        <v>3.39</v>
      </c>
      <c r="T359" s="26">
        <v>9</v>
      </c>
      <c r="U359" s="33">
        <v>7</v>
      </c>
      <c r="V359" s="26"/>
      <c r="W359" s="26"/>
      <c r="X359" s="26"/>
      <c r="Y359" s="26"/>
      <c r="Z359" s="26"/>
      <c r="AA359" s="26"/>
      <c r="AB359" s="26"/>
      <c r="AC359" s="26"/>
      <c r="AD359" s="26"/>
      <c r="AF359" s="37"/>
    </row>
    <row r="360" spans="12:32" x14ac:dyDescent="0.15">
      <c r="L360" s="37">
        <v>356</v>
      </c>
      <c r="M360">
        <v>2016.11</v>
      </c>
      <c r="N360" s="26">
        <v>280125</v>
      </c>
      <c r="O360" s="26">
        <v>1</v>
      </c>
      <c r="P360" s="26">
        <v>299</v>
      </c>
      <c r="Q360" s="26">
        <v>23.7</v>
      </c>
      <c r="R360" s="26">
        <v>3.86</v>
      </c>
      <c r="S360" s="26">
        <v>3.7</v>
      </c>
      <c r="T360" s="26">
        <v>9.2100000000000009</v>
      </c>
      <c r="U360" s="33">
        <v>11.2</v>
      </c>
      <c r="V360" s="26"/>
      <c r="W360" s="26"/>
      <c r="X360" s="26"/>
      <c r="Y360" s="26"/>
      <c r="Z360" s="26"/>
      <c r="AA360" s="26"/>
      <c r="AB360" s="26"/>
      <c r="AC360" s="26"/>
      <c r="AD360" s="26"/>
      <c r="AF360" s="37"/>
    </row>
    <row r="361" spans="12:32" x14ac:dyDescent="0.15">
      <c r="L361" s="37">
        <v>357</v>
      </c>
      <c r="M361">
        <v>2016.12</v>
      </c>
      <c r="N361" s="26">
        <v>280907</v>
      </c>
      <c r="O361" s="26">
        <v>1</v>
      </c>
      <c r="P361" s="26">
        <v>101</v>
      </c>
      <c r="Q361" s="26">
        <v>27.6</v>
      </c>
      <c r="R361" s="26">
        <v>3.29</v>
      </c>
      <c r="S361" s="26">
        <v>2.98</v>
      </c>
      <c r="T361" s="26">
        <v>8.7200000000000006</v>
      </c>
      <c r="U361" s="33">
        <v>8.1</v>
      </c>
      <c r="V361" s="26"/>
      <c r="W361" s="26"/>
      <c r="X361" s="26"/>
      <c r="Y361" s="26"/>
      <c r="Z361" s="26"/>
      <c r="AA361" s="26"/>
      <c r="AB361" s="26"/>
      <c r="AC361" s="26"/>
      <c r="AD361" s="26"/>
      <c r="AF361" s="37"/>
    </row>
    <row r="362" spans="12:32" x14ac:dyDescent="0.15">
      <c r="L362" s="37">
        <v>358</v>
      </c>
      <c r="M362">
        <v>2016.12</v>
      </c>
      <c r="N362" s="26">
        <v>280906</v>
      </c>
      <c r="O362" s="26">
        <v>1</v>
      </c>
      <c r="P362" s="26">
        <v>102</v>
      </c>
      <c r="Q362" s="26">
        <v>14.4</v>
      </c>
      <c r="R362" s="26">
        <v>2.33</v>
      </c>
      <c r="S362" s="26">
        <v>2.84</v>
      </c>
      <c r="T362" s="26">
        <v>8.0500000000000007</v>
      </c>
      <c r="U362" s="33">
        <v>6.8</v>
      </c>
      <c r="V362" s="26"/>
      <c r="W362" s="26"/>
      <c r="X362" s="26"/>
      <c r="Y362" s="26"/>
      <c r="Z362" s="26"/>
      <c r="AA362" s="26"/>
      <c r="AB362" s="26"/>
      <c r="AC362" s="26"/>
      <c r="AD362" s="26"/>
      <c r="AF362" s="37"/>
    </row>
    <row r="363" spans="12:32" x14ac:dyDescent="0.15">
      <c r="L363" s="37">
        <v>359</v>
      </c>
      <c r="M363">
        <v>2016.12</v>
      </c>
      <c r="N363" s="26">
        <v>280822</v>
      </c>
      <c r="O363" s="26">
        <v>1</v>
      </c>
      <c r="P363" s="26">
        <v>117</v>
      </c>
      <c r="Q363" s="26">
        <v>42.1</v>
      </c>
      <c r="R363" s="26">
        <v>3.59</v>
      </c>
      <c r="S363" s="26">
        <v>2.83</v>
      </c>
      <c r="T363" s="26">
        <v>8.2100000000000009</v>
      </c>
      <c r="U363" s="33">
        <v>7</v>
      </c>
      <c r="V363" s="26"/>
      <c r="W363" s="26"/>
      <c r="X363" s="26"/>
      <c r="Y363" s="26"/>
      <c r="Z363" s="26"/>
      <c r="AA363" s="26"/>
      <c r="AB363" s="26"/>
      <c r="AC363" s="26"/>
      <c r="AD363" s="26"/>
      <c r="AF363" s="37"/>
    </row>
    <row r="364" spans="12:32" x14ac:dyDescent="0.15">
      <c r="L364" s="37">
        <v>360</v>
      </c>
      <c r="M364">
        <v>2016.12</v>
      </c>
      <c r="N364" s="26">
        <v>280810</v>
      </c>
      <c r="O364" s="26">
        <v>1</v>
      </c>
      <c r="P364" s="26">
        <v>129</v>
      </c>
      <c r="Q364" s="26">
        <v>20.3</v>
      </c>
      <c r="R364" s="26">
        <v>4.1900000000000004</v>
      </c>
      <c r="S364" s="26">
        <v>3.72</v>
      </c>
      <c r="T364" s="26">
        <v>9.59</v>
      </c>
      <c r="U364" s="33">
        <v>8.1</v>
      </c>
      <c r="V364" s="26"/>
      <c r="W364" s="26"/>
      <c r="X364" s="26"/>
      <c r="Y364" s="26"/>
      <c r="Z364" s="26"/>
      <c r="AA364" s="26"/>
      <c r="AB364" s="26"/>
      <c r="AC364" s="26"/>
      <c r="AD364" s="26"/>
      <c r="AF364" s="37"/>
    </row>
    <row r="365" spans="12:32" x14ac:dyDescent="0.15">
      <c r="L365" s="37">
        <v>361</v>
      </c>
      <c r="M365">
        <v>2016.12</v>
      </c>
      <c r="N365" s="26">
        <v>280625</v>
      </c>
      <c r="O365" s="26">
        <v>1</v>
      </c>
      <c r="P365" s="26">
        <v>175</v>
      </c>
      <c r="Q365" s="26">
        <v>36.200000000000003</v>
      </c>
      <c r="R365" s="26">
        <v>3.83</v>
      </c>
      <c r="S365" s="26">
        <v>3.36</v>
      </c>
      <c r="T365" s="26">
        <v>8.61</v>
      </c>
      <c r="U365" s="33">
        <v>8.9</v>
      </c>
      <c r="V365" s="26"/>
      <c r="W365" s="26"/>
      <c r="X365" s="26"/>
      <c r="Y365" s="26"/>
      <c r="Z365" s="26"/>
      <c r="AA365" s="26"/>
      <c r="AB365" s="26"/>
      <c r="AC365" s="26"/>
      <c r="AD365" s="26"/>
      <c r="AF365" s="37"/>
    </row>
    <row r="366" spans="12:32" x14ac:dyDescent="0.15">
      <c r="L366" s="37">
        <v>362</v>
      </c>
      <c r="M366">
        <v>2016.12</v>
      </c>
      <c r="N366" s="26">
        <v>280516</v>
      </c>
      <c r="O366" s="26">
        <v>1</v>
      </c>
      <c r="P366" s="26">
        <v>215</v>
      </c>
      <c r="Q366" s="26">
        <v>30.6</v>
      </c>
      <c r="R366" s="26">
        <v>3.72</v>
      </c>
      <c r="S366" s="26">
        <v>3.49</v>
      </c>
      <c r="T366" s="26">
        <v>9.08</v>
      </c>
      <c r="U366" s="33">
        <v>11.3</v>
      </c>
      <c r="V366" s="26"/>
      <c r="W366" s="26"/>
      <c r="X366" s="26"/>
      <c r="Y366" s="26"/>
      <c r="Z366" s="26"/>
      <c r="AA366" s="26"/>
      <c r="AB366" s="26"/>
      <c r="AC366" s="26"/>
      <c r="AD366" s="26"/>
      <c r="AF366" s="37"/>
    </row>
    <row r="367" spans="12:32" x14ac:dyDescent="0.15">
      <c r="L367" s="37">
        <v>363</v>
      </c>
      <c r="M367">
        <v>2016.12</v>
      </c>
      <c r="N367" s="26">
        <v>280430</v>
      </c>
      <c r="O367" s="26">
        <v>1</v>
      </c>
      <c r="P367" s="26">
        <v>231</v>
      </c>
      <c r="Q367" s="26">
        <v>28.5</v>
      </c>
      <c r="R367" s="26">
        <v>3.32</v>
      </c>
      <c r="S367" s="26">
        <v>3.58</v>
      </c>
      <c r="T367" s="26">
        <v>9.11</v>
      </c>
      <c r="U367" s="33">
        <v>6.9</v>
      </c>
      <c r="V367" s="26"/>
      <c r="W367" s="26"/>
      <c r="X367" s="26"/>
      <c r="Y367" s="26"/>
      <c r="Z367" s="26"/>
      <c r="AA367" s="26"/>
      <c r="AB367" s="26"/>
      <c r="AC367" s="26"/>
      <c r="AD367" s="26"/>
      <c r="AF367" s="37"/>
    </row>
    <row r="368" spans="12:32" x14ac:dyDescent="0.15">
      <c r="L368" s="37">
        <v>364</v>
      </c>
      <c r="M368">
        <v>2016.12</v>
      </c>
      <c r="N368" s="26">
        <v>280425</v>
      </c>
      <c r="O368" s="26">
        <v>1</v>
      </c>
      <c r="P368" s="26">
        <v>236</v>
      </c>
      <c r="Q368" s="26">
        <v>28.3</v>
      </c>
      <c r="R368" s="26">
        <v>3.5</v>
      </c>
      <c r="S368" s="26">
        <v>3.35</v>
      </c>
      <c r="T368" s="26">
        <v>8.8800000000000008</v>
      </c>
      <c r="U368" s="33">
        <v>9</v>
      </c>
      <c r="V368" s="26"/>
      <c r="W368" s="26"/>
      <c r="X368" s="26"/>
      <c r="Y368" s="26"/>
      <c r="Z368" s="26"/>
      <c r="AA368" s="26"/>
      <c r="AB368" s="26"/>
      <c r="AC368" s="26"/>
      <c r="AD368" s="26"/>
      <c r="AF368" s="37"/>
    </row>
    <row r="369" spans="12:32" x14ac:dyDescent="0.15">
      <c r="L369" s="37">
        <v>365</v>
      </c>
      <c r="M369">
        <v>2016.12</v>
      </c>
      <c r="N369" s="26">
        <v>280423</v>
      </c>
      <c r="O369" s="26">
        <v>1</v>
      </c>
      <c r="P369" s="26">
        <v>238</v>
      </c>
      <c r="Q369" s="26">
        <v>32.6</v>
      </c>
      <c r="R369" s="26">
        <v>3.56</v>
      </c>
      <c r="S369" s="26">
        <v>3.22</v>
      </c>
      <c r="T369" s="26">
        <v>8.81</v>
      </c>
      <c r="U369" s="33">
        <v>7.6</v>
      </c>
      <c r="V369" s="26"/>
      <c r="W369" s="26"/>
      <c r="X369" s="26"/>
      <c r="Y369" s="26"/>
      <c r="Z369" s="26"/>
      <c r="AA369" s="26"/>
      <c r="AB369" s="26"/>
      <c r="AC369" s="26"/>
      <c r="AD369" s="26"/>
      <c r="AF369" s="37"/>
    </row>
    <row r="370" spans="12:32" x14ac:dyDescent="0.15">
      <c r="L370" s="37">
        <v>366</v>
      </c>
      <c r="M370">
        <v>2016.12</v>
      </c>
      <c r="N370" s="26">
        <v>280419</v>
      </c>
      <c r="O370" s="26">
        <v>1</v>
      </c>
      <c r="P370" s="26">
        <v>242</v>
      </c>
      <c r="Q370" s="26">
        <v>24.1</v>
      </c>
      <c r="R370" s="26">
        <v>3.34</v>
      </c>
      <c r="S370" s="26">
        <v>3.34</v>
      </c>
      <c r="T370" s="26">
        <v>8.89</v>
      </c>
      <c r="U370" s="33">
        <v>9.1</v>
      </c>
      <c r="V370" s="26"/>
      <c r="W370" s="26"/>
      <c r="X370" s="26"/>
      <c r="Y370" s="26"/>
      <c r="Z370" s="26"/>
      <c r="AA370" s="26"/>
      <c r="AB370" s="26"/>
      <c r="AC370" s="26"/>
      <c r="AD370" s="26"/>
      <c r="AF370" s="37"/>
    </row>
    <row r="371" spans="12:32" x14ac:dyDescent="0.15">
      <c r="L371" s="37">
        <v>367</v>
      </c>
      <c r="M371">
        <v>2016.12</v>
      </c>
      <c r="N371" s="26">
        <v>280418</v>
      </c>
      <c r="O371" s="26">
        <v>1</v>
      </c>
      <c r="P371" s="26">
        <v>243</v>
      </c>
      <c r="Q371" s="26">
        <v>34.4</v>
      </c>
      <c r="R371" s="26">
        <v>4.97</v>
      </c>
      <c r="S371" s="26">
        <v>3.31</v>
      </c>
      <c r="T371" s="26">
        <v>8.5399999999999991</v>
      </c>
      <c r="U371" s="33">
        <v>6.2</v>
      </c>
      <c r="V371" s="26"/>
      <c r="W371" s="26"/>
      <c r="X371" s="26"/>
      <c r="Y371" s="26"/>
      <c r="Z371" s="26"/>
      <c r="AA371" s="26"/>
      <c r="AB371" s="26"/>
      <c r="AC371" s="26"/>
      <c r="AD371" s="26"/>
      <c r="AF371" s="37"/>
    </row>
    <row r="372" spans="12:32" x14ac:dyDescent="0.15">
      <c r="L372" s="37">
        <v>368</v>
      </c>
      <c r="M372">
        <v>2016.12</v>
      </c>
      <c r="N372" s="26">
        <v>280326</v>
      </c>
      <c r="O372" s="26">
        <v>1</v>
      </c>
      <c r="P372" s="26">
        <v>266</v>
      </c>
      <c r="Q372" s="26">
        <v>36.1</v>
      </c>
      <c r="R372" s="26">
        <v>4.1500000000000004</v>
      </c>
      <c r="S372" s="26">
        <v>3.23</v>
      </c>
      <c r="T372" s="26">
        <v>8.84</v>
      </c>
      <c r="U372" s="33">
        <v>8</v>
      </c>
      <c r="V372" s="26"/>
      <c r="W372" s="26"/>
      <c r="X372" s="26"/>
      <c r="Y372" s="26"/>
      <c r="Z372" s="26"/>
      <c r="AA372" s="26"/>
      <c r="AB372" s="26"/>
      <c r="AC372" s="26"/>
      <c r="AD372" s="26"/>
      <c r="AF372" s="37"/>
    </row>
    <row r="373" spans="12:32" x14ac:dyDescent="0.15">
      <c r="L373" s="37">
        <v>369</v>
      </c>
      <c r="M373">
        <v>2016.12</v>
      </c>
      <c r="N373" s="26">
        <v>280324</v>
      </c>
      <c r="O373" s="26">
        <v>1</v>
      </c>
      <c r="P373" s="26">
        <v>268</v>
      </c>
      <c r="Q373" s="26">
        <v>34.299999999999997</v>
      </c>
      <c r="R373" s="26">
        <v>3.91</v>
      </c>
      <c r="S373" s="26">
        <v>3.84</v>
      </c>
      <c r="T373" s="26">
        <v>9.35</v>
      </c>
      <c r="U373" s="33">
        <v>8.5</v>
      </c>
      <c r="V373" s="26"/>
      <c r="W373" s="26"/>
      <c r="X373" s="26"/>
      <c r="Y373" s="26"/>
      <c r="Z373" s="26"/>
      <c r="AA373" s="26"/>
      <c r="AB373" s="26"/>
      <c r="AC373" s="26"/>
      <c r="AD373" s="26"/>
      <c r="AF373" s="37"/>
    </row>
    <row r="374" spans="12:32" x14ac:dyDescent="0.15">
      <c r="L374" s="37">
        <v>370</v>
      </c>
      <c r="M374">
        <v>2017.01</v>
      </c>
      <c r="N374" s="28">
        <v>281012</v>
      </c>
      <c r="O374" s="28">
        <v>1</v>
      </c>
      <c r="P374" s="28">
        <v>100</v>
      </c>
      <c r="Q374" s="28">
        <v>40</v>
      </c>
      <c r="R374" s="28">
        <v>3.67</v>
      </c>
      <c r="S374" s="28">
        <v>3.03</v>
      </c>
      <c r="T374" s="28">
        <v>8.74</v>
      </c>
      <c r="U374" s="35">
        <v>10.1</v>
      </c>
      <c r="V374" s="26"/>
      <c r="W374" s="26"/>
      <c r="X374" s="26"/>
      <c r="Y374" s="26"/>
      <c r="Z374" s="26"/>
      <c r="AA374" s="26"/>
      <c r="AB374" s="26"/>
      <c r="AC374" s="26"/>
      <c r="AD374" s="26"/>
      <c r="AF374" s="37"/>
    </row>
    <row r="375" spans="12:32" x14ac:dyDescent="0.15">
      <c r="L375" s="37">
        <v>371</v>
      </c>
      <c r="M375">
        <v>2017.01</v>
      </c>
      <c r="N375" s="28">
        <v>281009</v>
      </c>
      <c r="O375" s="28">
        <v>1</v>
      </c>
      <c r="P375" s="28">
        <v>103</v>
      </c>
      <c r="Q375" s="28">
        <v>33</v>
      </c>
      <c r="R375" s="28">
        <v>3.7</v>
      </c>
      <c r="S375" s="28">
        <v>2.7</v>
      </c>
      <c r="T375" s="28">
        <v>8.57</v>
      </c>
      <c r="U375" s="35">
        <v>11.7</v>
      </c>
      <c r="V375" s="26"/>
      <c r="W375" s="26"/>
      <c r="X375" s="26"/>
      <c r="Y375" s="26"/>
      <c r="Z375" s="26"/>
      <c r="AA375" s="26"/>
      <c r="AB375" s="26"/>
      <c r="AC375" s="26"/>
      <c r="AD375" s="26"/>
      <c r="AF375" s="37"/>
    </row>
    <row r="376" spans="12:32" x14ac:dyDescent="0.15">
      <c r="L376" s="37">
        <v>372</v>
      </c>
      <c r="M376">
        <v>2017.01</v>
      </c>
      <c r="N376" s="28">
        <v>281004</v>
      </c>
      <c r="O376" s="28">
        <v>1</v>
      </c>
      <c r="P376" s="28">
        <v>108</v>
      </c>
      <c r="Q376" s="28">
        <v>22.5</v>
      </c>
      <c r="R376" s="28">
        <v>3.91</v>
      </c>
      <c r="S376" s="28">
        <v>3.23</v>
      </c>
      <c r="T376" s="28">
        <v>8.82</v>
      </c>
      <c r="U376" s="35">
        <v>12.1</v>
      </c>
      <c r="V376" s="26"/>
      <c r="W376" s="26"/>
      <c r="X376" s="26"/>
      <c r="Y376" s="26"/>
      <c r="Z376" s="26"/>
      <c r="AA376" s="26"/>
      <c r="AB376" s="26"/>
      <c r="AC376" s="26"/>
      <c r="AD376" s="26"/>
      <c r="AF376" s="37"/>
    </row>
    <row r="377" spans="12:32" x14ac:dyDescent="0.15">
      <c r="L377" s="37">
        <v>373</v>
      </c>
      <c r="M377">
        <v>2017.01</v>
      </c>
      <c r="N377" s="26">
        <v>280924</v>
      </c>
      <c r="O377" s="26">
        <v>1</v>
      </c>
      <c r="P377" s="26">
        <v>118</v>
      </c>
      <c r="Q377" s="26">
        <v>36.1</v>
      </c>
      <c r="R377" s="26">
        <v>3.72</v>
      </c>
      <c r="S377" s="26">
        <v>3.13</v>
      </c>
      <c r="T377" s="26">
        <v>8.85</v>
      </c>
      <c r="U377" s="35">
        <v>12</v>
      </c>
      <c r="V377" s="26"/>
      <c r="W377" s="26"/>
      <c r="X377" s="26"/>
      <c r="Y377" s="26"/>
      <c r="Z377" s="26"/>
      <c r="AA377" s="26"/>
      <c r="AB377" s="26"/>
      <c r="AC377" s="26"/>
      <c r="AD377" s="26"/>
      <c r="AF377" s="37"/>
    </row>
    <row r="378" spans="12:32" x14ac:dyDescent="0.15">
      <c r="L378" s="37">
        <v>374</v>
      </c>
      <c r="M378">
        <v>2017.01</v>
      </c>
      <c r="N378" s="26">
        <v>280917</v>
      </c>
      <c r="O378" s="26">
        <v>1</v>
      </c>
      <c r="P378" s="26">
        <v>125</v>
      </c>
      <c r="Q378" s="26">
        <v>33.5</v>
      </c>
      <c r="R378" s="26">
        <v>3.61</v>
      </c>
      <c r="S378" s="26">
        <v>2.84</v>
      </c>
      <c r="T378" s="26">
        <v>8.39</v>
      </c>
      <c r="U378" s="35">
        <v>11.3</v>
      </c>
      <c r="V378" s="26"/>
      <c r="W378" s="26"/>
      <c r="X378" s="26"/>
      <c r="Y378" s="26"/>
      <c r="Z378" s="26"/>
      <c r="AA378" s="26"/>
      <c r="AB378" s="26"/>
      <c r="AC378" s="26"/>
      <c r="AD378" s="26"/>
      <c r="AF378" s="37"/>
    </row>
    <row r="379" spans="12:32" x14ac:dyDescent="0.15">
      <c r="L379" s="37">
        <v>375</v>
      </c>
      <c r="M379">
        <v>2017.01</v>
      </c>
      <c r="N379" s="26">
        <v>280907</v>
      </c>
      <c r="O379" s="26">
        <v>1</v>
      </c>
      <c r="P379" s="26">
        <v>135</v>
      </c>
      <c r="Q379" s="26">
        <v>30.7</v>
      </c>
      <c r="R379" s="26">
        <v>3.76</v>
      </c>
      <c r="S379" s="26">
        <v>2.97</v>
      </c>
      <c r="T379" s="26">
        <v>8.73</v>
      </c>
      <c r="U379" s="35">
        <v>12</v>
      </c>
      <c r="V379" s="26"/>
      <c r="W379" s="26"/>
      <c r="X379" s="26"/>
      <c r="Y379" s="26"/>
      <c r="Z379" s="26"/>
      <c r="AA379" s="26"/>
      <c r="AB379" s="26"/>
      <c r="AC379" s="26"/>
      <c r="AD379" s="26"/>
      <c r="AF379" s="37"/>
    </row>
    <row r="380" spans="12:32" x14ac:dyDescent="0.15">
      <c r="L380" s="37">
        <v>376</v>
      </c>
      <c r="M380">
        <v>2017.01</v>
      </c>
      <c r="N380" s="26">
        <v>280906</v>
      </c>
      <c r="O380" s="26">
        <v>1</v>
      </c>
      <c r="P380" s="26">
        <v>136</v>
      </c>
      <c r="Q380" s="26">
        <v>13.7</v>
      </c>
      <c r="R380" s="26">
        <v>2.65</v>
      </c>
      <c r="S380" s="26">
        <v>2.93</v>
      </c>
      <c r="T380" s="26">
        <v>8.24</v>
      </c>
      <c r="U380" s="35">
        <v>9</v>
      </c>
      <c r="V380" s="26"/>
      <c r="W380" s="26"/>
      <c r="X380" s="26"/>
      <c r="Y380" s="26"/>
      <c r="Z380" s="26"/>
      <c r="AA380" s="26"/>
      <c r="AB380" s="26"/>
      <c r="AC380" s="26"/>
      <c r="AD380" s="26"/>
      <c r="AF380" s="37"/>
    </row>
    <row r="381" spans="12:32" x14ac:dyDescent="0.15">
      <c r="L381" s="37">
        <v>377</v>
      </c>
      <c r="M381">
        <v>2017.01</v>
      </c>
      <c r="N381" s="26">
        <v>280822</v>
      </c>
      <c r="O381" s="26">
        <v>1</v>
      </c>
      <c r="P381" s="26">
        <v>151</v>
      </c>
      <c r="Q381" s="26">
        <v>45.2</v>
      </c>
      <c r="R381" s="26">
        <v>3.45</v>
      </c>
      <c r="S381" s="26">
        <v>2.96</v>
      </c>
      <c r="T381" s="26">
        <v>8.4499999999999993</v>
      </c>
      <c r="U381" s="35">
        <v>11.2</v>
      </c>
      <c r="V381" s="26"/>
      <c r="W381" s="26"/>
      <c r="X381" s="26"/>
      <c r="Y381" s="26"/>
      <c r="Z381" s="26"/>
      <c r="AA381" s="26"/>
      <c r="AB381" s="26"/>
      <c r="AC381" s="26"/>
      <c r="AD381" s="26"/>
      <c r="AF381" s="37"/>
    </row>
    <row r="382" spans="12:32" x14ac:dyDescent="0.15">
      <c r="L382" s="37">
        <v>378</v>
      </c>
      <c r="M382">
        <v>2017.01</v>
      </c>
      <c r="N382" s="26">
        <v>280810</v>
      </c>
      <c r="O382" s="26">
        <v>1</v>
      </c>
      <c r="P382" s="26">
        <v>163</v>
      </c>
      <c r="Q382" s="26">
        <v>20.2</v>
      </c>
      <c r="R382" s="26">
        <v>4.28</v>
      </c>
      <c r="S382" s="26">
        <v>3.66</v>
      </c>
      <c r="T382" s="26">
        <v>9.35</v>
      </c>
      <c r="U382" s="35">
        <v>10.1</v>
      </c>
      <c r="V382" s="26"/>
      <c r="W382" s="26"/>
      <c r="X382" s="26"/>
      <c r="Y382" s="26"/>
      <c r="Z382" s="26"/>
      <c r="AA382" s="26"/>
      <c r="AB382" s="26"/>
      <c r="AC382" s="26"/>
      <c r="AD382" s="26"/>
      <c r="AF382" s="37"/>
    </row>
    <row r="383" spans="12:32" x14ac:dyDescent="0.15">
      <c r="L383" s="37">
        <v>379</v>
      </c>
      <c r="M383">
        <v>2017.01</v>
      </c>
      <c r="N383" s="26">
        <v>280625</v>
      </c>
      <c r="O383" s="26">
        <v>1</v>
      </c>
      <c r="P383" s="26">
        <v>209</v>
      </c>
      <c r="Q383" s="26">
        <v>38.200000000000003</v>
      </c>
      <c r="R383" s="26">
        <v>4.1399999999999997</v>
      </c>
      <c r="S383" s="26">
        <v>3.65</v>
      </c>
      <c r="T383" s="26">
        <v>8.99</v>
      </c>
      <c r="U383" s="35">
        <v>13.6</v>
      </c>
      <c r="V383" s="26"/>
      <c r="W383" s="26"/>
      <c r="X383" s="26"/>
      <c r="Y383" s="26"/>
      <c r="Z383" s="26"/>
      <c r="AA383" s="26"/>
      <c r="AB383" s="26"/>
      <c r="AC383" s="26"/>
      <c r="AD383" s="26"/>
      <c r="AF383" s="37"/>
    </row>
    <row r="384" spans="12:32" x14ac:dyDescent="0.15">
      <c r="L384" s="37">
        <v>380</v>
      </c>
      <c r="M384">
        <v>2017.01</v>
      </c>
      <c r="N384" s="26">
        <v>280602</v>
      </c>
      <c r="O384" s="26">
        <v>1</v>
      </c>
      <c r="P384" s="26">
        <v>232</v>
      </c>
      <c r="Q384" s="26">
        <v>37.1</v>
      </c>
      <c r="R384" s="26">
        <v>4.12</v>
      </c>
      <c r="S384" s="26">
        <v>3.36</v>
      </c>
      <c r="T384" s="26">
        <v>8.94</v>
      </c>
      <c r="U384" s="35">
        <v>11.8</v>
      </c>
      <c r="V384" s="26"/>
      <c r="W384" s="26"/>
      <c r="X384" s="26"/>
      <c r="Y384" s="26"/>
      <c r="Z384" s="26"/>
      <c r="AA384" s="26"/>
      <c r="AB384" s="26"/>
      <c r="AC384" s="26"/>
      <c r="AD384" s="26"/>
      <c r="AF384" s="37"/>
    </row>
    <row r="385" spans="12:32" x14ac:dyDescent="0.15">
      <c r="L385" s="37">
        <v>381</v>
      </c>
      <c r="M385">
        <v>2017.01</v>
      </c>
      <c r="N385" s="26">
        <v>280516</v>
      </c>
      <c r="O385" s="26">
        <v>1</v>
      </c>
      <c r="P385" s="26">
        <v>249</v>
      </c>
      <c r="Q385" s="26">
        <v>31.6</v>
      </c>
      <c r="R385" s="26">
        <v>3.8</v>
      </c>
      <c r="S385" s="26">
        <v>3.52</v>
      </c>
      <c r="T385" s="26">
        <v>9.23</v>
      </c>
      <c r="U385" s="35">
        <v>14.3</v>
      </c>
      <c r="V385" s="26"/>
      <c r="W385" s="26"/>
      <c r="X385" s="26"/>
      <c r="Y385" s="26"/>
      <c r="Z385" s="26"/>
      <c r="AA385" s="26"/>
      <c r="AB385" s="26"/>
      <c r="AC385" s="26"/>
      <c r="AD385" s="26"/>
      <c r="AF385" s="37"/>
    </row>
    <row r="386" spans="12:32" x14ac:dyDescent="0.15">
      <c r="L386" s="37">
        <v>382</v>
      </c>
      <c r="M386">
        <v>2017.01</v>
      </c>
      <c r="N386" s="26">
        <v>280430</v>
      </c>
      <c r="O386" s="26">
        <v>1</v>
      </c>
      <c r="P386" s="26">
        <v>265</v>
      </c>
      <c r="Q386" s="26">
        <v>35.5</v>
      </c>
      <c r="R386" s="26">
        <v>3.59</v>
      </c>
      <c r="S386" s="26">
        <v>3.29</v>
      </c>
      <c r="T386" s="26">
        <v>8.73</v>
      </c>
      <c r="U386" s="35">
        <v>9.5</v>
      </c>
      <c r="V386" s="26"/>
      <c r="W386" s="26"/>
      <c r="X386" s="26"/>
      <c r="Y386" s="26"/>
      <c r="Z386" s="26"/>
      <c r="AA386" s="26"/>
      <c r="AB386" s="26"/>
      <c r="AC386" s="26"/>
      <c r="AD386" s="26"/>
      <c r="AF386" s="37"/>
    </row>
    <row r="387" spans="12:32" x14ac:dyDescent="0.15">
      <c r="L387" s="37">
        <v>383</v>
      </c>
      <c r="M387">
        <v>2017.01</v>
      </c>
      <c r="N387" s="26">
        <v>280425</v>
      </c>
      <c r="O387" s="26">
        <v>1</v>
      </c>
      <c r="P387" s="26">
        <v>270</v>
      </c>
      <c r="Q387" s="26">
        <v>24</v>
      </c>
      <c r="R387" s="26">
        <v>3.86</v>
      </c>
      <c r="S387" s="26">
        <v>3.33</v>
      </c>
      <c r="T387" s="26">
        <v>8.81</v>
      </c>
      <c r="U387" s="33">
        <v>10.4</v>
      </c>
      <c r="V387" s="26"/>
      <c r="W387" s="26"/>
      <c r="X387" s="26"/>
      <c r="Y387" s="26"/>
      <c r="Z387" s="26"/>
      <c r="AA387" s="26"/>
      <c r="AB387" s="26"/>
      <c r="AC387" s="26"/>
      <c r="AD387" s="26"/>
      <c r="AF387" s="37"/>
    </row>
    <row r="388" spans="12:32" x14ac:dyDescent="0.15">
      <c r="L388" s="37">
        <v>384</v>
      </c>
      <c r="M388">
        <v>2017.01</v>
      </c>
      <c r="N388" s="26">
        <v>280423</v>
      </c>
      <c r="O388" s="26">
        <v>1</v>
      </c>
      <c r="P388" s="26">
        <v>272</v>
      </c>
      <c r="Q388" s="26">
        <v>24.2</v>
      </c>
      <c r="R388" s="26">
        <v>3.85</v>
      </c>
      <c r="S388" s="26">
        <v>3.4</v>
      </c>
      <c r="T388" s="26">
        <v>9.09</v>
      </c>
      <c r="U388" s="33">
        <v>12.5</v>
      </c>
      <c r="V388" s="26"/>
      <c r="W388" s="26"/>
      <c r="X388" s="26"/>
      <c r="Y388" s="26"/>
      <c r="Z388" s="26"/>
      <c r="AA388" s="26"/>
      <c r="AB388" s="26"/>
      <c r="AC388" s="26"/>
      <c r="AD388" s="26"/>
      <c r="AF388" s="37"/>
    </row>
    <row r="389" spans="12:32" x14ac:dyDescent="0.15">
      <c r="L389" s="37">
        <v>385</v>
      </c>
      <c r="M389">
        <v>2017.01</v>
      </c>
      <c r="N389" s="26">
        <v>280419</v>
      </c>
      <c r="O389" s="26">
        <v>1</v>
      </c>
      <c r="P389" s="26">
        <v>276</v>
      </c>
      <c r="Q389" s="26">
        <v>23.8</v>
      </c>
      <c r="R389" s="26">
        <v>3.7</v>
      </c>
      <c r="S389" s="26">
        <v>3.27</v>
      </c>
      <c r="T389" s="26">
        <v>8.82</v>
      </c>
      <c r="U389" s="33">
        <v>10.9</v>
      </c>
      <c r="V389" s="26"/>
      <c r="W389" s="26"/>
      <c r="X389" s="26"/>
      <c r="Y389" s="26"/>
      <c r="Z389" s="26"/>
      <c r="AA389" s="26"/>
      <c r="AB389" s="26"/>
      <c r="AC389" s="26"/>
      <c r="AD389" s="26"/>
      <c r="AF389" s="37"/>
    </row>
    <row r="390" spans="12:32" x14ac:dyDescent="0.15">
      <c r="L390" s="37">
        <v>386</v>
      </c>
      <c r="M390">
        <v>2017.01</v>
      </c>
      <c r="N390" s="26">
        <v>280418</v>
      </c>
      <c r="O390" s="26">
        <v>1</v>
      </c>
      <c r="P390" s="26">
        <v>277</v>
      </c>
      <c r="Q390" s="26">
        <v>35.6</v>
      </c>
      <c r="R390" s="26">
        <v>3.53</v>
      </c>
      <c r="S390" s="26">
        <v>3.33</v>
      </c>
      <c r="T390" s="26">
        <v>8.52</v>
      </c>
      <c r="U390" s="33">
        <v>9.6</v>
      </c>
      <c r="V390" s="26"/>
      <c r="W390" s="26"/>
      <c r="X390" s="26"/>
      <c r="Y390" s="26"/>
      <c r="Z390" s="26"/>
      <c r="AA390" s="26"/>
      <c r="AB390" s="26"/>
      <c r="AC390" s="26"/>
      <c r="AD390" s="26"/>
      <c r="AF390" s="37"/>
    </row>
  </sheetData>
  <mergeCells count="13">
    <mergeCell ref="A10:A12"/>
    <mergeCell ref="A13:J13"/>
    <mergeCell ref="A14:J14"/>
    <mergeCell ref="L3:AD3"/>
    <mergeCell ref="AF3:AX3"/>
    <mergeCell ref="A4:A5"/>
    <mergeCell ref="B4:B5"/>
    <mergeCell ref="C4:C6"/>
    <mergeCell ref="G4:G5"/>
    <mergeCell ref="H4:H5"/>
    <mergeCell ref="I4:I5"/>
    <mergeCell ref="J4:J5"/>
    <mergeCell ref="A7:A9"/>
  </mergeCells>
  <phoneticPr fontId="2"/>
  <conditionalFormatting sqref="AP68:AP104 AP106:AP146 AP148:AP192 AP194:AP240 AP242:AP283 N179:U224">
    <cfRule type="cellIs" dxfId="1" priority="2" operator="equal">
      <formula>0</formula>
    </cfRule>
  </conditionalFormatting>
  <conditionalFormatting sqref="V223:V259 V261:V301 V303:V347 V349:V390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4C39-4FE4-4240-BEEC-4E3834217743}">
  <dimension ref="A1:AB23"/>
  <sheetViews>
    <sheetView showGridLines="0" zoomScaleNormal="100" workbookViewId="0">
      <selection activeCell="G42" sqref="G42"/>
    </sheetView>
  </sheetViews>
  <sheetFormatPr defaultRowHeight="13.5" x14ac:dyDescent="0.15"/>
  <cols>
    <col min="1" max="1" width="7.375" bestFit="1" customWidth="1"/>
    <col min="2" max="2" width="17.875" bestFit="1" customWidth="1"/>
    <col min="3" max="3" width="6.75" bestFit="1" customWidth="1"/>
    <col min="4" max="4" width="8.375" bestFit="1" customWidth="1"/>
    <col min="5" max="5" width="6.75" bestFit="1" customWidth="1"/>
    <col min="6" max="6" width="6.375" bestFit="1" customWidth="1"/>
    <col min="8" max="8" width="10.5" bestFit="1" customWidth="1"/>
    <col min="11" max="11" width="7.875" bestFit="1" customWidth="1"/>
    <col min="14" max="14" width="10.5" bestFit="1" customWidth="1"/>
    <col min="15" max="15" width="13" bestFit="1" customWidth="1"/>
    <col min="16" max="16" width="10.125" bestFit="1" customWidth="1"/>
    <col min="17" max="17" width="11.625" bestFit="1" customWidth="1"/>
    <col min="18" max="18" width="6.25" bestFit="1" customWidth="1"/>
    <col min="19" max="19" width="9.25" bestFit="1" customWidth="1"/>
    <col min="20" max="20" width="5.5" bestFit="1" customWidth="1"/>
    <col min="21" max="21" width="10.125" bestFit="1" customWidth="1"/>
    <col min="22" max="22" width="11.75" bestFit="1" customWidth="1"/>
    <col min="23" max="23" width="26.875" bestFit="1" customWidth="1"/>
    <col min="24" max="24" width="21.5" bestFit="1" customWidth="1"/>
    <col min="25" max="25" width="20.25" bestFit="1" customWidth="1"/>
  </cols>
  <sheetData>
    <row r="1" spans="1:28" ht="14.25" thickBot="1" x14ac:dyDescent="0.2"/>
    <row r="2" spans="1:28" ht="15.75" thickTop="1" x14ac:dyDescent="0.15">
      <c r="A2" s="121"/>
      <c r="B2" s="121"/>
      <c r="C2" s="122" t="s">
        <v>126</v>
      </c>
      <c r="D2" s="122" t="s">
        <v>127</v>
      </c>
      <c r="E2" s="123" t="s">
        <v>128</v>
      </c>
      <c r="F2" s="124"/>
      <c r="H2" s="91" t="s">
        <v>100</v>
      </c>
      <c r="I2" s="93" t="s">
        <v>98</v>
      </c>
      <c r="J2" s="93"/>
      <c r="K2" s="93" t="s">
        <v>99</v>
      </c>
      <c r="L2" s="93"/>
      <c r="N2" s="97" t="s">
        <v>101</v>
      </c>
      <c r="O2" s="95" t="s">
        <v>84</v>
      </c>
      <c r="P2" s="95"/>
      <c r="Q2" s="95"/>
      <c r="R2" s="95"/>
      <c r="S2" s="93" t="s">
        <v>88</v>
      </c>
      <c r="T2" s="93"/>
      <c r="U2" s="93"/>
      <c r="V2" s="93"/>
      <c r="W2" s="96" t="s">
        <v>92</v>
      </c>
      <c r="X2" s="96"/>
      <c r="Y2" s="96"/>
    </row>
    <row r="3" spans="1:28" ht="18" x14ac:dyDescent="0.15">
      <c r="A3" s="151"/>
      <c r="B3" s="151"/>
      <c r="C3" s="118" t="s">
        <v>129</v>
      </c>
      <c r="D3" s="118" t="s">
        <v>129</v>
      </c>
      <c r="E3" s="152" t="s">
        <v>129</v>
      </c>
      <c r="F3" s="118" t="s">
        <v>130</v>
      </c>
      <c r="H3" s="92"/>
      <c r="I3" s="54" t="s">
        <v>96</v>
      </c>
      <c r="J3" s="54" t="s">
        <v>97</v>
      </c>
      <c r="K3" s="54" t="s">
        <v>96</v>
      </c>
      <c r="L3" s="54" t="s">
        <v>97</v>
      </c>
      <c r="N3" s="98"/>
      <c r="O3" s="29" t="s">
        <v>81</v>
      </c>
      <c r="P3" s="29" t="s">
        <v>82</v>
      </c>
      <c r="Q3" s="94" t="s">
        <v>83</v>
      </c>
      <c r="R3" s="94"/>
      <c r="S3" s="29" t="s">
        <v>85</v>
      </c>
      <c r="T3" s="29" t="s">
        <v>86</v>
      </c>
      <c r="U3" s="29" t="s">
        <v>82</v>
      </c>
      <c r="V3" s="29" t="s">
        <v>87</v>
      </c>
      <c r="W3" s="29" t="s">
        <v>79</v>
      </c>
      <c r="X3" s="29" t="s">
        <v>80</v>
      </c>
      <c r="Y3" s="29" t="s">
        <v>78</v>
      </c>
    </row>
    <row r="4" spans="1:28" ht="18" x14ac:dyDescent="0.15">
      <c r="A4" s="117" t="s">
        <v>114</v>
      </c>
      <c r="B4" s="117"/>
      <c r="C4" s="125" t="s">
        <v>74</v>
      </c>
      <c r="D4" s="125" t="s">
        <v>74</v>
      </c>
      <c r="E4" s="126" t="s">
        <v>74</v>
      </c>
      <c r="F4" s="125">
        <v>13.3</v>
      </c>
      <c r="H4" s="53">
        <v>42800</v>
      </c>
      <c r="I4" s="15">
        <v>4.6182223008510297</v>
      </c>
      <c r="J4" s="15">
        <v>53.451647000590626</v>
      </c>
      <c r="K4" s="15">
        <v>2.4266708912855242</v>
      </c>
      <c r="L4" s="15">
        <v>28.086468649138013</v>
      </c>
      <c r="N4" s="99"/>
      <c r="O4" s="54" t="s">
        <v>89</v>
      </c>
      <c r="P4" s="54" t="s">
        <v>89</v>
      </c>
      <c r="Q4" s="54" t="s">
        <v>89</v>
      </c>
      <c r="R4" s="54" t="s">
        <v>90</v>
      </c>
      <c r="S4" s="54" t="s">
        <v>15</v>
      </c>
      <c r="T4" s="54" t="s">
        <v>15</v>
      </c>
      <c r="U4" s="54" t="s">
        <v>15</v>
      </c>
      <c r="V4" s="54" t="s">
        <v>15</v>
      </c>
      <c r="W4" s="60" t="s">
        <v>93</v>
      </c>
      <c r="X4" s="60" t="s">
        <v>93</v>
      </c>
      <c r="Y4" s="60" t="s">
        <v>93</v>
      </c>
    </row>
    <row r="5" spans="1:28" ht="15" x14ac:dyDescent="0.15">
      <c r="A5" s="108" t="s">
        <v>115</v>
      </c>
      <c r="B5" s="108"/>
      <c r="C5" s="145">
        <v>220</v>
      </c>
      <c r="D5" s="145">
        <v>100</v>
      </c>
      <c r="E5" s="128">
        <v>152</v>
      </c>
      <c r="F5" s="145">
        <v>1.8</v>
      </c>
      <c r="H5" s="53">
        <v>42801</v>
      </c>
      <c r="I5" s="15">
        <v>4.1695033812254518</v>
      </c>
      <c r="J5" s="15">
        <v>48.258140986405692</v>
      </c>
      <c r="K5" s="15">
        <v>2.0647037646097015</v>
      </c>
      <c r="L5" s="15">
        <v>23.897034312612288</v>
      </c>
      <c r="N5" s="53">
        <v>42800</v>
      </c>
      <c r="O5" s="13">
        <v>60058.333333333379</v>
      </c>
      <c r="P5" s="13">
        <v>51694.166666666628</v>
      </c>
      <c r="Q5" s="13">
        <v>8364.1666666667516</v>
      </c>
      <c r="R5" s="13">
        <v>8.3641666666667511</v>
      </c>
      <c r="S5" s="13">
        <v>7.4103448275862061</v>
      </c>
      <c r="T5" s="13">
        <v>36.208333333333336</v>
      </c>
      <c r="U5" s="13">
        <v>32.83958333333333</v>
      </c>
      <c r="V5" s="13">
        <v>42.768750000000004</v>
      </c>
      <c r="W5" s="17">
        <v>2192.5884267676397</v>
      </c>
      <c r="X5" s="17">
        <v>261.38778799885318</v>
      </c>
      <c r="Y5" s="17">
        <v>2011.5928393076508</v>
      </c>
      <c r="Z5" s="17"/>
      <c r="AA5" s="17"/>
      <c r="AB5" s="17"/>
    </row>
    <row r="6" spans="1:28" ht="15" x14ac:dyDescent="0.15">
      <c r="A6" s="111" t="s">
        <v>116</v>
      </c>
      <c r="B6" s="111"/>
      <c r="C6" s="146" t="s">
        <v>74</v>
      </c>
      <c r="D6" s="146" t="s">
        <v>74</v>
      </c>
      <c r="E6" s="147">
        <v>5340</v>
      </c>
      <c r="F6" s="146">
        <v>61.8</v>
      </c>
      <c r="H6" s="53">
        <v>42802</v>
      </c>
      <c r="I6" s="15">
        <v>3.9931440576849453</v>
      </c>
      <c r="J6" s="15">
        <v>46.216945112094272</v>
      </c>
      <c r="K6" s="15">
        <v>2.0520579893907733</v>
      </c>
      <c r="L6" s="15">
        <v>23.750671173504319</v>
      </c>
      <c r="N6" s="53">
        <v>42801</v>
      </c>
      <c r="O6" s="13">
        <v>60216.458333333525</v>
      </c>
      <c r="P6" s="13">
        <v>52258.333333333452</v>
      </c>
      <c r="Q6" s="13">
        <v>7958.1250000000728</v>
      </c>
      <c r="R6" s="13">
        <v>7.9581250000000727</v>
      </c>
      <c r="S6" s="13">
        <v>6.7769230769230759</v>
      </c>
      <c r="T6" s="13">
        <v>31.541666666666657</v>
      </c>
      <c r="U6" s="13">
        <v>27.637499999999999</v>
      </c>
      <c r="V6" s="13">
        <v>37.087499999999999</v>
      </c>
      <c r="W6" s="17">
        <v>2109.5515444500047</v>
      </c>
      <c r="X6" s="17">
        <v>227.44034757500205</v>
      </c>
      <c r="Y6" s="17">
        <v>1918.9852798368149</v>
      </c>
      <c r="Z6" s="17"/>
      <c r="AA6" s="17"/>
      <c r="AB6" s="17"/>
    </row>
    <row r="7" spans="1:28" ht="15" customHeight="1" x14ac:dyDescent="0.15">
      <c r="A7" s="104" t="s">
        <v>117</v>
      </c>
      <c r="B7" s="105" t="s">
        <v>119</v>
      </c>
      <c r="C7" s="127">
        <v>4618</v>
      </c>
      <c r="D7" s="127">
        <v>2485</v>
      </c>
      <c r="E7" s="128">
        <v>4055</v>
      </c>
      <c r="F7" s="127">
        <v>46.9</v>
      </c>
      <c r="H7" s="53">
        <v>42803</v>
      </c>
      <c r="I7" s="15">
        <v>2.4851418382812951</v>
      </c>
      <c r="J7" s="15">
        <v>28.763215720848319</v>
      </c>
      <c r="K7" s="15">
        <v>1.3320609837199584</v>
      </c>
      <c r="L7" s="15">
        <v>15.417372496758778</v>
      </c>
      <c r="N7" s="53">
        <v>42802</v>
      </c>
      <c r="O7" s="13">
        <v>59822.291666666737</v>
      </c>
      <c r="P7" s="13">
        <v>52318.750000000029</v>
      </c>
      <c r="Q7" s="13">
        <v>7503.5416666667079</v>
      </c>
      <c r="R7" s="13">
        <v>7.5035416666667079</v>
      </c>
      <c r="S7" s="13">
        <v>6.7416666666666663</v>
      </c>
      <c r="T7" s="13">
        <v>33.077083333333341</v>
      </c>
      <c r="U7" s="13">
        <v>29.481249999999999</v>
      </c>
      <c r="V7" s="13">
        <v>38.210416666666667</v>
      </c>
      <c r="W7" s="17">
        <v>1950.8906305052099</v>
      </c>
      <c r="X7" s="17">
        <v>213.33286797152894</v>
      </c>
      <c r="Y7" s="17">
        <v>1840.0688546748347</v>
      </c>
      <c r="Z7" s="17"/>
      <c r="AA7" s="17"/>
      <c r="AB7" s="17"/>
    </row>
    <row r="8" spans="1:28" ht="15" x14ac:dyDescent="0.15">
      <c r="A8" s="104" t="s">
        <v>118</v>
      </c>
      <c r="B8" s="106" t="s">
        <v>120</v>
      </c>
      <c r="C8" s="125">
        <v>2427</v>
      </c>
      <c r="D8" s="125">
        <v>1332</v>
      </c>
      <c r="E8" s="126">
        <v>2102</v>
      </c>
      <c r="F8" s="125">
        <v>24.3</v>
      </c>
      <c r="H8" s="53">
        <v>42804</v>
      </c>
      <c r="I8" s="15">
        <v>3.77357702357356</v>
      </c>
      <c r="J8" s="15">
        <v>43.675659995064343</v>
      </c>
      <c r="K8" s="15">
        <v>1.9385683136860918</v>
      </c>
      <c r="L8" s="15">
        <v>22.437133260255692</v>
      </c>
      <c r="N8" s="53">
        <v>42803</v>
      </c>
      <c r="O8" s="13">
        <v>62503.750000000175</v>
      </c>
      <c r="P8" s="13">
        <v>54293.124999999978</v>
      </c>
      <c r="Q8" s="13">
        <v>8210.6250000001965</v>
      </c>
      <c r="R8" s="13">
        <v>8.2106250000001957</v>
      </c>
      <c r="S8" s="13">
        <v>6.0113636363636376</v>
      </c>
      <c r="T8" s="13">
        <v>20.764583333333334</v>
      </c>
      <c r="U8" s="13">
        <v>19.154166666666665</v>
      </c>
      <c r="V8" s="13">
        <v>25.497916666666669</v>
      </c>
      <c r="W8" s="17">
        <v>1471.2743958992189</v>
      </c>
      <c r="X8" s="17">
        <v>208.14856204261864</v>
      </c>
      <c r="Y8" s="17">
        <v>1087.7202996291844</v>
      </c>
      <c r="Z8" s="17"/>
      <c r="AA8" s="17"/>
      <c r="AB8" s="17"/>
    </row>
    <row r="9" spans="1:28" ht="15" x14ac:dyDescent="0.15">
      <c r="A9" s="115"/>
      <c r="B9" s="114" t="s">
        <v>121</v>
      </c>
      <c r="C9" s="132" t="s">
        <v>74</v>
      </c>
      <c r="D9" s="133" t="s">
        <v>74</v>
      </c>
      <c r="E9" s="134">
        <v>1967</v>
      </c>
      <c r="F9" s="132">
        <v>22.8</v>
      </c>
      <c r="H9" s="53">
        <v>42805</v>
      </c>
      <c r="I9" s="15">
        <v>2.8053045821999665</v>
      </c>
      <c r="J9" s="15">
        <v>32.46880303472183</v>
      </c>
      <c r="K9" s="15">
        <v>1.3931600534524529</v>
      </c>
      <c r="L9" s="15">
        <v>16.124537655699683</v>
      </c>
      <c r="N9" s="53">
        <v>42804</v>
      </c>
      <c r="O9" s="13">
        <v>60124.375000000044</v>
      </c>
      <c r="P9" s="13">
        <v>52322.916666666752</v>
      </c>
      <c r="Q9" s="13">
        <v>7801.4583333332921</v>
      </c>
      <c r="R9" s="13">
        <v>7.8014583333332919</v>
      </c>
      <c r="S9" s="13">
        <v>7.130769230769233</v>
      </c>
      <c r="T9" s="13">
        <v>31.912499999999998</v>
      </c>
      <c r="U9" s="13">
        <v>28.652083333333337</v>
      </c>
      <c r="V9" s="13">
        <v>37.13333333333334</v>
      </c>
      <c r="W9" s="17">
        <v>1895.6344305286498</v>
      </c>
      <c r="X9" s="17">
        <v>234.60451882499885</v>
      </c>
      <c r="Y9" s="17">
        <v>1769.3623112027719</v>
      </c>
      <c r="Z9" s="17"/>
      <c r="AA9" s="17"/>
      <c r="AB9" s="17"/>
    </row>
    <row r="10" spans="1:28" ht="15" x14ac:dyDescent="0.15">
      <c r="A10" s="116"/>
      <c r="B10" s="112" t="s">
        <v>122</v>
      </c>
      <c r="C10" s="148"/>
      <c r="D10" s="149"/>
      <c r="E10" s="150"/>
      <c r="F10" s="148"/>
      <c r="H10" s="53">
        <v>42806</v>
      </c>
      <c r="I10" s="15">
        <v>4.4519253560631249</v>
      </c>
      <c r="J10" s="15">
        <v>51.5269138433232</v>
      </c>
      <c r="K10" s="15">
        <v>2.2583927687947805</v>
      </c>
      <c r="L10" s="15">
        <v>26.13880519438403</v>
      </c>
      <c r="N10" s="53">
        <v>42805</v>
      </c>
      <c r="O10" s="13">
        <v>60037.083333333525</v>
      </c>
      <c r="P10" s="13">
        <v>52779.166666666599</v>
      </c>
      <c r="Q10" s="13">
        <v>7257.9166666669262</v>
      </c>
      <c r="R10" s="13">
        <v>7.2579166666669259</v>
      </c>
      <c r="S10" s="13">
        <v>6.9449999999999985</v>
      </c>
      <c r="T10" s="13">
        <v>25.500000000000014</v>
      </c>
      <c r="U10" s="13">
        <v>22.612499999999997</v>
      </c>
      <c r="V10" s="13">
        <v>29.193750000000005</v>
      </c>
      <c r="W10" s="17">
        <v>1483.7942899406248</v>
      </c>
      <c r="X10" s="17">
        <v>212.57315842750756</v>
      </c>
      <c r="Y10" s="17">
        <v>1423.2068183125314</v>
      </c>
      <c r="Z10" s="17"/>
      <c r="AA10" s="17"/>
      <c r="AB10" s="17"/>
    </row>
    <row r="11" spans="1:28" ht="15" x14ac:dyDescent="0.15">
      <c r="A11" s="113" t="s">
        <v>123</v>
      </c>
      <c r="B11" s="114" t="s">
        <v>124</v>
      </c>
      <c r="C11" s="110">
        <v>2263</v>
      </c>
      <c r="D11" s="142">
        <v>1471</v>
      </c>
      <c r="E11" s="143">
        <v>2017</v>
      </c>
      <c r="F11" s="144">
        <v>23.3</v>
      </c>
      <c r="H11" s="53">
        <v>42807</v>
      </c>
      <c r="I11" s="15">
        <v>4.345150266556951</v>
      </c>
      <c r="J11" s="15">
        <v>50.291091048112861</v>
      </c>
      <c r="K11" s="15">
        <v>2.2528295938569571</v>
      </c>
      <c r="L11" s="15">
        <v>26.074416595566632</v>
      </c>
      <c r="N11" s="53">
        <v>42806</v>
      </c>
      <c r="O11" s="13">
        <v>61664.166666666839</v>
      </c>
      <c r="P11" s="13">
        <v>51066.041666666701</v>
      </c>
      <c r="Q11" s="13">
        <v>10598.125</v>
      </c>
      <c r="R11" s="13">
        <v>10.598125</v>
      </c>
      <c r="S11" s="13">
        <v>7.1914285714285713</v>
      </c>
      <c r="T11" s="13">
        <v>32.258333333333333</v>
      </c>
      <c r="U11" s="13">
        <v>29.147916666666674</v>
      </c>
      <c r="V11" s="13">
        <v>39.52291666666666</v>
      </c>
      <c r="W11" s="17"/>
      <c r="X11" s="17"/>
      <c r="Y11" s="17"/>
      <c r="Z11" s="17"/>
      <c r="AA11" s="17"/>
      <c r="AB11" s="17"/>
    </row>
    <row r="12" spans="1:28" ht="30" customHeight="1" x14ac:dyDescent="0.15">
      <c r="A12" s="113"/>
      <c r="B12" s="114" t="s">
        <v>122</v>
      </c>
      <c r="C12" s="135"/>
      <c r="D12" s="136"/>
      <c r="E12" s="137"/>
      <c r="F12" s="138"/>
      <c r="H12" s="53">
        <v>42808</v>
      </c>
      <c r="I12" s="15">
        <v>4.5593151410742907</v>
      </c>
      <c r="J12" s="15">
        <v>52.769851169841324</v>
      </c>
      <c r="K12" s="15">
        <v>2.3953191501873139</v>
      </c>
      <c r="L12" s="15">
        <v>27.723601275316138</v>
      </c>
      <c r="N12" s="53">
        <v>42807</v>
      </c>
      <c r="O12" s="13">
        <v>60256.458333333394</v>
      </c>
      <c r="P12" s="13">
        <v>51856.25000000008</v>
      </c>
      <c r="Q12" s="13">
        <v>8400.2083333333139</v>
      </c>
      <c r="R12" s="13">
        <v>8.400208333333314</v>
      </c>
      <c r="S12" s="13">
        <v>7.1078947368421046</v>
      </c>
      <c r="T12" s="13">
        <v>33.97291666666667</v>
      </c>
      <c r="U12" s="13">
        <v>30.981249999999999</v>
      </c>
      <c r="V12" s="13">
        <v>40.677083333333336</v>
      </c>
      <c r="W12" s="17">
        <v>2147.7762076739627</v>
      </c>
      <c r="X12" s="17">
        <v>251.79971982521872</v>
      </c>
      <c r="Y12" s="17">
        <v>1857.7448860592012</v>
      </c>
      <c r="Z12" s="17"/>
      <c r="AA12" s="17"/>
      <c r="AB12" s="17"/>
    </row>
    <row r="13" spans="1:28" s="38" customFormat="1" ht="15" x14ac:dyDescent="0.15">
      <c r="A13" s="113"/>
      <c r="B13" s="129" t="s">
        <v>131</v>
      </c>
      <c r="C13" s="132" t="s">
        <v>74</v>
      </c>
      <c r="D13" s="133" t="s">
        <v>74</v>
      </c>
      <c r="E13" s="134">
        <v>237</v>
      </c>
      <c r="F13" s="132">
        <v>2.7</v>
      </c>
      <c r="H13" s="53">
        <v>42809</v>
      </c>
      <c r="I13" s="15">
        <v>4.4003886677929405</v>
      </c>
      <c r="J13" s="15">
        <v>50.930424395751622</v>
      </c>
      <c r="K13" s="15">
        <v>2.2769655734961485</v>
      </c>
      <c r="L13" s="15">
        <v>26.353768211760979</v>
      </c>
      <c r="M13"/>
      <c r="N13" s="53">
        <v>42808</v>
      </c>
      <c r="O13" s="13">
        <v>59982.916666666635</v>
      </c>
      <c r="P13" s="13">
        <v>51646.875000000051</v>
      </c>
      <c r="Q13" s="13">
        <v>8336.0416666665842</v>
      </c>
      <c r="R13" s="13">
        <v>8.3360416666665849</v>
      </c>
      <c r="S13" s="13">
        <v>7.2911764705882351</v>
      </c>
      <c r="T13" s="13">
        <v>35.729166666666671</v>
      </c>
      <c r="U13" s="13">
        <v>32.333333333333336</v>
      </c>
      <c r="V13" s="13">
        <v>42.364583333333321</v>
      </c>
      <c r="W13" s="17">
        <v>2213.104294652343</v>
      </c>
      <c r="X13" s="17">
        <v>256.31952187769355</v>
      </c>
      <c r="Y13" s="17">
        <v>1995.680260121517</v>
      </c>
      <c r="Z13" s="17"/>
      <c r="AA13" s="17"/>
      <c r="AB13" s="17"/>
    </row>
    <row r="14" spans="1:28" ht="15" x14ac:dyDescent="0.15">
      <c r="A14" s="113"/>
      <c r="B14" s="130" t="s">
        <v>132</v>
      </c>
      <c r="C14" s="138"/>
      <c r="D14" s="139"/>
      <c r="E14" s="140"/>
      <c r="F14" s="138"/>
      <c r="H14" s="53">
        <v>42810</v>
      </c>
      <c r="I14" s="15">
        <v>4.5953589291552399</v>
      </c>
      <c r="J14" s="15">
        <v>53.187024643000463</v>
      </c>
      <c r="K14" s="15">
        <v>2.4038032855248574</v>
      </c>
      <c r="L14" s="15">
        <v>27.821797286167335</v>
      </c>
      <c r="N14" s="53">
        <v>42809</v>
      </c>
      <c r="O14" s="13">
        <v>59993.750000000007</v>
      </c>
      <c r="P14" s="13">
        <v>52059.166666666672</v>
      </c>
      <c r="Q14" s="13">
        <v>7934.5833333333358</v>
      </c>
      <c r="R14" s="13">
        <v>7.934583333333336</v>
      </c>
      <c r="S14" s="13">
        <v>6.7135135135135124</v>
      </c>
      <c r="T14" s="13">
        <v>34.387500000000003</v>
      </c>
      <c r="U14" s="13">
        <v>30.583333333333329</v>
      </c>
      <c r="V14" s="13">
        <v>40.431250000000006</v>
      </c>
      <c r="W14" s="17">
        <v>2190.0012106028498</v>
      </c>
      <c r="X14" s="17">
        <v>224.64574185405411</v>
      </c>
      <c r="Y14" s="17">
        <v>1985.8467161631975</v>
      </c>
      <c r="Z14" s="17"/>
      <c r="AA14" s="17"/>
      <c r="AB14" s="17"/>
    </row>
    <row r="15" spans="1:28" ht="15" x14ac:dyDescent="0.15">
      <c r="A15" s="111"/>
      <c r="B15" s="112" t="s">
        <v>133</v>
      </c>
      <c r="C15" s="146">
        <v>2018</v>
      </c>
      <c r="D15" s="146">
        <v>1088</v>
      </c>
      <c r="E15" s="147">
        <v>1825</v>
      </c>
      <c r="F15" s="146">
        <v>21.1</v>
      </c>
      <c r="H15" s="55">
        <v>42811</v>
      </c>
      <c r="I15" s="15">
        <v>4.4125026078531731</v>
      </c>
      <c r="J15" s="15">
        <v>51.070632035337638</v>
      </c>
      <c r="K15" s="15">
        <v>2.3556300926442337</v>
      </c>
      <c r="L15" s="15">
        <v>27.264237183382335</v>
      </c>
      <c r="N15" s="53">
        <v>42810</v>
      </c>
      <c r="O15" s="13">
        <v>59846.458333333452</v>
      </c>
      <c r="P15" s="13">
        <v>52024.375000000022</v>
      </c>
      <c r="Q15" s="13">
        <v>7822.0833333334303</v>
      </c>
      <c r="R15" s="13">
        <v>7.8220833333334303</v>
      </c>
      <c r="S15" s="13">
        <v>6.9378378378378391</v>
      </c>
      <c r="T15" s="13">
        <v>35.231250000000003</v>
      </c>
      <c r="U15" s="13">
        <v>31.370833333333348</v>
      </c>
      <c r="V15" s="13">
        <v>41.554166666666681</v>
      </c>
      <c r="W15" s="17">
        <v>2263.0784516654176</v>
      </c>
      <c r="X15" s="17">
        <v>228.86046757342629</v>
      </c>
      <c r="Y15" s="17">
        <v>2009.148040243241</v>
      </c>
      <c r="Z15" s="17"/>
      <c r="AA15" s="17"/>
      <c r="AB15" s="17"/>
    </row>
    <row r="16" spans="1:28" x14ac:dyDescent="0.15">
      <c r="A16" s="141" t="s">
        <v>125</v>
      </c>
      <c r="B16" s="141"/>
      <c r="C16" s="141"/>
      <c r="D16" s="141"/>
      <c r="E16" s="141"/>
      <c r="F16" s="141"/>
      <c r="H16" s="57">
        <v>42812</v>
      </c>
      <c r="I16" s="64">
        <v>4.1020052226205781</v>
      </c>
      <c r="J16" s="64">
        <v>47.476912298849278</v>
      </c>
      <c r="K16" s="64">
        <v>2.1718350499169605</v>
      </c>
      <c r="L16" s="64">
        <v>25.136979744409263</v>
      </c>
      <c r="N16" s="55">
        <v>42811</v>
      </c>
      <c r="O16" s="56">
        <v>59751.45833333335</v>
      </c>
      <c r="P16" s="56">
        <v>51760.416666666708</v>
      </c>
      <c r="Q16" s="56">
        <v>7991.0416666666424</v>
      </c>
      <c r="R16" s="56">
        <v>7.9910416666666428</v>
      </c>
      <c r="S16" s="56">
        <v>6.9666666666666668</v>
      </c>
      <c r="T16" s="56">
        <v>35.389583333333334</v>
      </c>
      <c r="U16" s="56">
        <v>31.793749999999999</v>
      </c>
      <c r="V16" s="56">
        <v>41.654166666666676</v>
      </c>
      <c r="W16" s="30">
        <v>2180.1973573446217</v>
      </c>
      <c r="X16" s="30">
        <v>234.77541905277707</v>
      </c>
      <c r="Y16" s="30">
        <v>1977.5356088605868</v>
      </c>
      <c r="Z16" s="17"/>
      <c r="AA16" s="17"/>
      <c r="AB16" s="17"/>
    </row>
    <row r="17" spans="1:28" x14ac:dyDescent="0.15">
      <c r="H17" t="s">
        <v>91</v>
      </c>
      <c r="I17" s="17">
        <f>+AVERAGE(I4:I16)*1000</f>
        <v>4054.7337980717339</v>
      </c>
      <c r="J17" s="63">
        <f>+AVERAGE(J4:J16)</f>
        <v>46.929789329533953</v>
      </c>
      <c r="K17" s="17">
        <f>+AVERAGE(K4:K16)*1000</f>
        <v>2101.692116197366</v>
      </c>
      <c r="L17" s="63">
        <f>+AVERAGE(L4:L16)</f>
        <v>24.325140233765804</v>
      </c>
      <c r="N17" s="57">
        <v>42812</v>
      </c>
      <c r="O17" s="58">
        <v>60124.16666666665</v>
      </c>
      <c r="P17" s="58">
        <v>50718.541666666788</v>
      </c>
      <c r="Q17" s="58">
        <v>9405.6249999998618</v>
      </c>
      <c r="R17" s="58">
        <v>9.405624999999862</v>
      </c>
      <c r="S17" s="58">
        <v>7.3918918918918921</v>
      </c>
      <c r="T17" s="58">
        <v>33.283333333333324</v>
      </c>
      <c r="U17" s="58">
        <v>30.020833333333339</v>
      </c>
      <c r="V17" s="58">
        <v>39.75416666666667</v>
      </c>
      <c r="W17" s="59">
        <v>2108.7793124011159</v>
      </c>
      <c r="X17" s="59">
        <v>293.20236158445516</v>
      </c>
      <c r="Y17" s="59">
        <v>2018.0136763989367</v>
      </c>
      <c r="Z17" s="17"/>
      <c r="AA17" s="17"/>
      <c r="AB17" s="17"/>
    </row>
    <row r="18" spans="1:28" x14ac:dyDescent="0.15">
      <c r="H18" t="s">
        <v>94</v>
      </c>
      <c r="I18" s="17">
        <f>+MAX(I4:I16)*1000</f>
        <v>4618.22230085103</v>
      </c>
      <c r="J18" s="63">
        <f>+MAX(J4:J16)</f>
        <v>53.451647000590626</v>
      </c>
      <c r="K18" s="17">
        <f>+MAX(K4:K16)*1000</f>
        <v>2426.6708912855242</v>
      </c>
      <c r="L18" s="63">
        <f>+MAX(L4:L16)</f>
        <v>28.086468649138013</v>
      </c>
      <c r="O18" s="13"/>
      <c r="P18" s="13"/>
      <c r="Q18" s="13"/>
      <c r="R18" s="13"/>
      <c r="S18" s="13"/>
      <c r="T18" s="13"/>
      <c r="U18" s="13"/>
      <c r="V18" t="s">
        <v>91</v>
      </c>
      <c r="W18" s="61">
        <f t="shared" ref="W18:Y18" si="0">+AVERAGE(W5:W17)</f>
        <v>2017.2225460359714</v>
      </c>
      <c r="X18" s="61">
        <f t="shared" si="0"/>
        <v>237.25753955067785</v>
      </c>
      <c r="Y18" s="61">
        <f t="shared" si="0"/>
        <v>1824.5754659008726</v>
      </c>
    </row>
    <row r="19" spans="1:28" x14ac:dyDescent="0.15">
      <c r="A19" s="100"/>
      <c r="H19" t="s">
        <v>95</v>
      </c>
      <c r="I19" s="17">
        <f>+MIN(I4:I16)*1000</f>
        <v>2485.1418382812949</v>
      </c>
      <c r="J19" s="63">
        <f>+MIN(J4:J16)</f>
        <v>28.763215720848319</v>
      </c>
      <c r="K19" s="17">
        <f>+MIN(K4:K16)*1000</f>
        <v>1332.0609837199584</v>
      </c>
      <c r="L19" s="63">
        <f>+MIN(L4:L16)</f>
        <v>15.417372496758778</v>
      </c>
      <c r="O19" s="13"/>
      <c r="P19" s="13"/>
      <c r="Q19" s="13"/>
      <c r="R19" s="13"/>
      <c r="S19" s="13"/>
      <c r="T19" s="13"/>
      <c r="U19" s="13"/>
      <c r="V19" t="s">
        <v>94</v>
      </c>
      <c r="W19" s="61">
        <f t="shared" ref="W19:Y19" si="1">+MAX(W5:W17)</f>
        <v>2263.0784516654176</v>
      </c>
      <c r="X19" s="61">
        <f t="shared" si="1"/>
        <v>293.20236158445516</v>
      </c>
      <c r="Y19" s="61">
        <f t="shared" si="1"/>
        <v>2018.0136763989367</v>
      </c>
    </row>
    <row r="20" spans="1:28" x14ac:dyDescent="0.15">
      <c r="A20" s="100"/>
      <c r="O20" s="13"/>
      <c r="P20" s="13"/>
      <c r="Q20" s="13"/>
      <c r="R20" s="13"/>
      <c r="S20" s="13"/>
      <c r="T20" s="13"/>
      <c r="U20" s="13"/>
      <c r="V20" t="s">
        <v>95</v>
      </c>
      <c r="W20" s="61">
        <f t="shared" ref="W20:X20" si="2">+MIN(W5:W17)</f>
        <v>1471.2743958992189</v>
      </c>
      <c r="X20" s="61">
        <f t="shared" si="2"/>
        <v>208.14856204261864</v>
      </c>
      <c r="Y20" s="61">
        <f>+MIN(Y5:Y17)</f>
        <v>1087.7202996291844</v>
      </c>
    </row>
    <row r="23" spans="1:28" x14ac:dyDescent="0.15">
      <c r="K23" s="62"/>
      <c r="L23" s="62"/>
    </row>
  </sheetData>
  <mergeCells count="26">
    <mergeCell ref="C9:C10"/>
    <mergeCell ref="D9:D10"/>
    <mergeCell ref="E9:E10"/>
    <mergeCell ref="F9:F10"/>
    <mergeCell ref="A11:A15"/>
    <mergeCell ref="C11:C12"/>
    <mergeCell ref="D11:D12"/>
    <mergeCell ref="E11:E12"/>
    <mergeCell ref="F11:F12"/>
    <mergeCell ref="C13:C14"/>
    <mergeCell ref="D13:D14"/>
    <mergeCell ref="E13:E14"/>
    <mergeCell ref="F13:F14"/>
    <mergeCell ref="A16:F16"/>
    <mergeCell ref="E2:F2"/>
    <mergeCell ref="A4:B4"/>
    <mergeCell ref="A5:B5"/>
    <mergeCell ref="A6:B6"/>
    <mergeCell ref="H2:H3"/>
    <mergeCell ref="S2:V2"/>
    <mergeCell ref="Q3:R3"/>
    <mergeCell ref="O2:R2"/>
    <mergeCell ref="W2:Y2"/>
    <mergeCell ref="I2:J2"/>
    <mergeCell ref="K2:L2"/>
    <mergeCell ref="N2:N4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Fig2</vt:lpstr>
      <vt:lpstr>Fig3</vt:lpstr>
      <vt:lpstr>Fig4</vt:lpstr>
      <vt:lpstr>Tab1</vt:lpstr>
      <vt:lpstr>Tab2</vt:lpstr>
      <vt:lpstr>Tab3</vt:lpstr>
      <vt:lpstr>Tab4</vt:lpstr>
      <vt:lpstr>Tab5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小島陽一郎</dc:creator>
  <cp:lastModifiedBy>小島陽一郎</cp:lastModifiedBy>
  <dcterms:created xsi:type="dcterms:W3CDTF">2020-11-17T01:56:29Z</dcterms:created>
  <dcterms:modified xsi:type="dcterms:W3CDTF">2021-01-06T02:40:07Z</dcterms:modified>
</cp:coreProperties>
</file>