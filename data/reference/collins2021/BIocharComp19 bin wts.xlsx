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111" documentId="11_C8D997BDE9ADBDC866E65AF351205BB2BB648EAE" xr6:coauthVersionLast="46" xr6:coauthVersionMax="46" xr10:uidLastSave="{3418AEDB-6A74-4E0B-8A72-FD49B5C7D875}"/>
  <bookViews>
    <workbookView xWindow="-120" yWindow="-120" windowWidth="25440" windowHeight="15390" xr2:uid="{00000000-000D-0000-FFFF-FFFF00000000}"/>
  </bookViews>
  <sheets>
    <sheet name="Sheet1" sheetId="1" r:id="rId1"/>
    <sheet name="not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1" l="1"/>
  <c r="Q11" i="1"/>
  <c r="P2" i="1"/>
  <c r="F11" i="1"/>
  <c r="P20" i="1"/>
  <c r="P11" i="1"/>
  <c r="O11" i="1"/>
  <c r="X12" i="1"/>
  <c r="X13" i="1"/>
  <c r="X14" i="1"/>
  <c r="X15" i="1"/>
  <c r="X16" i="1"/>
  <c r="X17" i="1"/>
  <c r="X18" i="1"/>
  <c r="X19" i="1"/>
  <c r="X11" i="1"/>
  <c r="W12" i="1"/>
  <c r="W13" i="1"/>
  <c r="W14" i="1"/>
  <c r="W15" i="1"/>
  <c r="W16" i="1"/>
  <c r="W17" i="1"/>
  <c r="W18" i="1"/>
  <c r="W19" i="1"/>
  <c r="W11" i="1"/>
  <c r="Q2" i="1"/>
  <c r="Q20" i="1"/>
  <c r="F17" i="1"/>
  <c r="F14" i="1"/>
  <c r="R5" i="1"/>
  <c r="R8" i="1"/>
  <c r="R3" i="1"/>
  <c r="R6" i="1"/>
  <c r="R9" i="1"/>
  <c r="R4" i="1"/>
  <c r="R7" i="1"/>
  <c r="R10" i="1"/>
  <c r="R17" i="1"/>
  <c r="R11" i="1"/>
  <c r="R14" i="1"/>
  <c r="R18" i="1"/>
  <c r="R15" i="1"/>
  <c r="R12" i="1"/>
  <c r="R19" i="1"/>
  <c r="R13" i="1"/>
  <c r="R16" i="1"/>
  <c r="R26" i="1"/>
  <c r="R20" i="1"/>
  <c r="R23" i="1"/>
  <c r="R27" i="1"/>
  <c r="R24" i="1"/>
  <c r="R21" i="1"/>
  <c r="R28" i="1"/>
  <c r="R22" i="1"/>
  <c r="R25" i="1"/>
  <c r="R2" i="1"/>
  <c r="F18" i="1"/>
  <c r="F15" i="1"/>
  <c r="F12" i="1"/>
  <c r="F19" i="1"/>
  <c r="F13" i="1"/>
  <c r="F16" i="1"/>
  <c r="Q14" i="1" l="1"/>
  <c r="Q18" i="1"/>
  <c r="Q15" i="1"/>
  <c r="Q12" i="1"/>
  <c r="Q19" i="1"/>
  <c r="Q16" i="1"/>
  <c r="Q17" i="1"/>
  <c r="Q23" i="1"/>
  <c r="Q27" i="1"/>
  <c r="Q24" i="1"/>
  <c r="Q21" i="1"/>
  <c r="Q28" i="1"/>
  <c r="Q22" i="1"/>
  <c r="Q25" i="1"/>
  <c r="Q26" i="1"/>
  <c r="P26" i="1" s="1"/>
  <c r="E25" i="1"/>
  <c r="E22" i="1"/>
  <c r="E28" i="1"/>
  <c r="E21" i="1"/>
  <c r="E24" i="1"/>
  <c r="E27" i="1"/>
  <c r="E23" i="1"/>
  <c r="E20" i="1"/>
  <c r="E26" i="1"/>
  <c r="P22" i="1" l="1"/>
  <c r="P28" i="1"/>
  <c r="P25" i="1"/>
  <c r="P21" i="1"/>
  <c r="P24" i="1"/>
  <c r="P27" i="1"/>
  <c r="P23" i="1"/>
  <c r="O16" i="1"/>
  <c r="P16" i="1" s="1"/>
  <c r="O13" i="1"/>
  <c r="P13" i="1" s="1"/>
  <c r="O19" i="1"/>
  <c r="P19" i="1" s="1"/>
  <c r="O12" i="1"/>
  <c r="P12" i="1" s="1"/>
  <c r="O15" i="1"/>
  <c r="P15" i="1" s="1"/>
  <c r="O18" i="1"/>
  <c r="P18" i="1" s="1"/>
  <c r="O14" i="1"/>
  <c r="P14" i="1" s="1"/>
  <c r="O17" i="1"/>
  <c r="P17" i="1" s="1"/>
  <c r="J8" i="1" l="1"/>
  <c r="P8" i="1" s="1"/>
  <c r="Q8" i="1" s="1"/>
  <c r="P5" i="1"/>
  <c r="Q5" i="1" s="1"/>
  <c r="P3" i="1"/>
  <c r="Q3" i="1" s="1"/>
  <c r="P6" i="1"/>
  <c r="Q6" i="1" s="1"/>
  <c r="P9" i="1"/>
  <c r="Q9" i="1" s="1"/>
  <c r="P4" i="1"/>
  <c r="Q4" i="1" s="1"/>
  <c r="P7" i="1"/>
  <c r="Q7" i="1" s="1"/>
  <c r="J10" i="1"/>
  <c r="P10" i="1" s="1"/>
  <c r="Q10" i="1" s="1"/>
</calcChain>
</file>

<file path=xl/sharedStrings.xml><?xml version="1.0" encoding="utf-8"?>
<sst xmlns="http://schemas.openxmlformats.org/spreadsheetml/2006/main" count="190" uniqueCount="33">
  <si>
    <t>Date</t>
  </si>
  <si>
    <t>Bin.No</t>
  </si>
  <si>
    <t>Treatment</t>
  </si>
  <si>
    <t>Rep</t>
  </si>
  <si>
    <t>Bin.Tare.Wt.lb*</t>
  </si>
  <si>
    <t>Plenum.Wet.Wt.lb</t>
  </si>
  <si>
    <t>Capping.Wt.lbA</t>
  </si>
  <si>
    <t>Capping.Wt.lbB</t>
  </si>
  <si>
    <t>Material.Only.Wt.lb.A</t>
  </si>
  <si>
    <t>Material.Only.Wt.lb.B***</t>
  </si>
  <si>
    <t>Bin+TopCap+Plenum.Total.Wt.A</t>
  </si>
  <si>
    <t>Bin+TopCap+Plenum.Total.Wt.B</t>
  </si>
  <si>
    <t>Empty Bin + Plenum A</t>
  </si>
  <si>
    <t>Empty Bin + Plenum B</t>
  </si>
  <si>
    <t xml:space="preserve">Empty Bin + Plenum tot. </t>
  </si>
  <si>
    <t>Material.Only.Wet.Wt.lb.TOTAL</t>
  </si>
  <si>
    <t>Total.BinAndContents.lb**</t>
  </si>
  <si>
    <t>Top.Cap.Wet.Wt.lb</t>
  </si>
  <si>
    <t>Stage</t>
  </si>
  <si>
    <t>0%Biochar</t>
  </si>
  <si>
    <t>NA</t>
  </si>
  <si>
    <t>precompost</t>
  </si>
  <si>
    <t>20%Biochar</t>
  </si>
  <si>
    <t>40%Biochar</t>
  </si>
  <si>
    <t>turn1</t>
  </si>
  <si>
    <t>40% Biochar</t>
  </si>
  <si>
    <t>turn2</t>
  </si>
  <si>
    <t>NOTES</t>
  </si>
  <si>
    <t>Plenum and Capping were 100% shavings</t>
  </si>
  <si>
    <t>Base compost mix before addition of biochar was 4woodshavings:1chicken manure</t>
  </si>
  <si>
    <t>*Bin Tare includes pipe but excludes lid</t>
  </si>
  <si>
    <t>**Total Bin&amp;contents=bin, pipes, plenum, capping, NO lid.</t>
  </si>
  <si>
    <t>***A couple times half the capping (48.1lb) was added to bin before final weight was taken so had to subtract that.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</si>
</sst>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15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"/>
  <sheetViews>
    <sheetView tabSelected="1" zoomScale="90" zoomScaleNormal="90" workbookViewId="0">
      <pane xSplit="4" ySplit="10" topLeftCell="E11" activePane="bottomRight" state="frozen"/>
      <selection pane="topRight"/>
      <selection pane="bottomLeft"/>
      <selection pane="bottomRight" activeCell="S26" sqref="S26:S28"/>
    </sheetView>
  </sheetViews>
  <sheetFormatPr defaultColWidth="8.85546875" defaultRowHeight="14.25" x14ac:dyDescent="0.2"/>
  <cols>
    <col min="1" max="1" width="13" style="1" customWidth="1"/>
    <col min="2" max="2" width="6.7109375" style="1" bestFit="1" customWidth="1"/>
    <col min="3" max="3" width="12.28515625" style="1" bestFit="1" customWidth="1"/>
    <col min="4" max="4" width="4.5703125" style="1" bestFit="1" customWidth="1"/>
    <col min="5" max="5" width="9" style="1" customWidth="1"/>
    <col min="6" max="6" width="12.28515625" style="1" bestFit="1" customWidth="1"/>
    <col min="7" max="8" width="8.7109375" style="1" bestFit="1" customWidth="1"/>
    <col min="9" max="10" width="13.42578125" style="1" bestFit="1" customWidth="1"/>
    <col min="11" max="11" width="14.5703125" style="1" bestFit="1" customWidth="1"/>
    <col min="12" max="12" width="13.28515625" style="1" bestFit="1" customWidth="1"/>
    <col min="13" max="15" width="9.85546875" style="1" bestFit="1" customWidth="1"/>
    <col min="16" max="16" width="12" style="1" bestFit="1" customWidth="1"/>
    <col min="17" max="17" width="9.5703125" style="1" bestFit="1" customWidth="1"/>
    <col min="18" max="18" width="9.7109375" style="13" bestFit="1" customWidth="1"/>
    <col min="19" max="19" width="13.28515625" style="13" customWidth="1"/>
    <col min="20" max="20" width="8.85546875" style="13"/>
    <col min="21" max="21" width="10.7109375" style="1" bestFit="1" customWidth="1"/>
    <col min="22" max="16384" width="8.85546875" style="1"/>
  </cols>
  <sheetData>
    <row r="1" spans="1:24" ht="25.9" customHeight="1" thickBot="1" x14ac:dyDescent="0.25">
      <c r="A1" s="4" t="s">
        <v>0</v>
      </c>
      <c r="B1" s="4" t="s">
        <v>1</v>
      </c>
      <c r="C1" s="4" t="s">
        <v>2</v>
      </c>
      <c r="D1" s="4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1" t="s">
        <v>15</v>
      </c>
      <c r="Q1" s="11" t="s">
        <v>16</v>
      </c>
      <c r="R1" s="10" t="s">
        <v>17</v>
      </c>
      <c r="S1" s="10" t="s">
        <v>5</v>
      </c>
      <c r="T1" s="10" t="s">
        <v>1</v>
      </c>
      <c r="U1" s="4" t="s">
        <v>0</v>
      </c>
      <c r="V1" s="3" t="s">
        <v>18</v>
      </c>
      <c r="W1" s="3"/>
      <c r="X1" s="3"/>
    </row>
    <row r="2" spans="1:24" x14ac:dyDescent="0.2">
      <c r="A2" s="5">
        <v>43606</v>
      </c>
      <c r="B2" s="3">
        <v>5</v>
      </c>
      <c r="C2" s="3" t="s">
        <v>19</v>
      </c>
      <c r="D2" s="3">
        <v>1</v>
      </c>
      <c r="E2" s="3">
        <v>230</v>
      </c>
      <c r="F2" s="3">
        <v>41.7</v>
      </c>
      <c r="G2" s="3">
        <v>96.3</v>
      </c>
      <c r="H2" s="3">
        <v>0</v>
      </c>
      <c r="I2" s="3">
        <v>860</v>
      </c>
      <c r="J2" s="3">
        <v>700</v>
      </c>
      <c r="K2" s="3" t="s">
        <v>20</v>
      </c>
      <c r="L2" s="3" t="s">
        <v>20</v>
      </c>
      <c r="M2" s="3" t="s">
        <v>20</v>
      </c>
      <c r="N2" s="3" t="s">
        <v>20</v>
      </c>
      <c r="O2" s="3" t="s">
        <v>20</v>
      </c>
      <c r="P2" s="6">
        <f>I2+J2</f>
        <v>1560</v>
      </c>
      <c r="Q2" s="6">
        <f>P2+G2+F2+E2</f>
        <v>1928</v>
      </c>
      <c r="R2" s="8">
        <f t="shared" ref="R2:R28" si="0">G2+H2</f>
        <v>96.3</v>
      </c>
      <c r="S2" s="8">
        <v>41.7</v>
      </c>
      <c r="T2" s="8">
        <v>5</v>
      </c>
      <c r="U2" s="5">
        <v>43606</v>
      </c>
      <c r="V2" s="3" t="s">
        <v>21</v>
      </c>
      <c r="W2" s="3"/>
      <c r="X2" s="3"/>
    </row>
    <row r="3" spans="1:24" x14ac:dyDescent="0.2">
      <c r="A3" s="5">
        <v>43607</v>
      </c>
      <c r="B3" s="3">
        <v>9</v>
      </c>
      <c r="C3" s="3" t="s">
        <v>19</v>
      </c>
      <c r="D3" s="3">
        <v>2</v>
      </c>
      <c r="E3" s="3">
        <v>280</v>
      </c>
      <c r="F3" s="3">
        <v>41.7</v>
      </c>
      <c r="G3" s="3">
        <v>96.3</v>
      </c>
      <c r="H3" s="3">
        <v>0</v>
      </c>
      <c r="I3" s="3">
        <v>830</v>
      </c>
      <c r="J3" s="3">
        <v>760</v>
      </c>
      <c r="K3" s="3" t="s">
        <v>20</v>
      </c>
      <c r="L3" s="3" t="s">
        <v>20</v>
      </c>
      <c r="M3" s="3" t="s">
        <v>20</v>
      </c>
      <c r="N3" s="3" t="s">
        <v>20</v>
      </c>
      <c r="O3" s="3" t="s">
        <v>20</v>
      </c>
      <c r="P3" s="6">
        <f t="shared" ref="P3:P10" si="1">I3+J3</f>
        <v>1590</v>
      </c>
      <c r="Q3" s="6">
        <f t="shared" ref="Q3:Q10" si="2">P3+G3+F3+E3</f>
        <v>2008</v>
      </c>
      <c r="R3" s="8">
        <f t="shared" si="0"/>
        <v>96.3</v>
      </c>
      <c r="S3" s="8">
        <v>41.7</v>
      </c>
      <c r="T3" s="8">
        <v>9</v>
      </c>
      <c r="U3" s="5">
        <v>43607</v>
      </c>
      <c r="V3" s="3" t="s">
        <v>21</v>
      </c>
      <c r="W3" s="3"/>
      <c r="X3" s="3"/>
    </row>
    <row r="4" spans="1:24" x14ac:dyDescent="0.2">
      <c r="A4" s="5">
        <v>43608</v>
      </c>
      <c r="B4" s="3">
        <v>2</v>
      </c>
      <c r="C4" s="3" t="s">
        <v>19</v>
      </c>
      <c r="D4" s="3">
        <v>3</v>
      </c>
      <c r="E4" s="3">
        <v>250</v>
      </c>
      <c r="F4" s="3">
        <v>41.7</v>
      </c>
      <c r="G4" s="3">
        <v>96.3</v>
      </c>
      <c r="H4" s="3">
        <v>0</v>
      </c>
      <c r="I4" s="3">
        <v>750</v>
      </c>
      <c r="J4" s="3">
        <v>840</v>
      </c>
      <c r="K4" s="3" t="s">
        <v>20</v>
      </c>
      <c r="L4" s="3" t="s">
        <v>20</v>
      </c>
      <c r="M4" s="3" t="s">
        <v>20</v>
      </c>
      <c r="N4" s="3" t="s">
        <v>20</v>
      </c>
      <c r="O4" s="3" t="s">
        <v>20</v>
      </c>
      <c r="P4" s="6">
        <f t="shared" si="1"/>
        <v>1590</v>
      </c>
      <c r="Q4" s="6">
        <f t="shared" si="2"/>
        <v>1978</v>
      </c>
      <c r="R4" s="8">
        <f t="shared" si="0"/>
        <v>96.3</v>
      </c>
      <c r="S4" s="8">
        <v>41.7</v>
      </c>
      <c r="T4" s="8">
        <v>2</v>
      </c>
      <c r="U4" s="5">
        <v>43608</v>
      </c>
      <c r="V4" s="3" t="s">
        <v>21</v>
      </c>
      <c r="W4" s="3"/>
      <c r="X4" s="3"/>
    </row>
    <row r="5" spans="1:24" x14ac:dyDescent="0.2">
      <c r="A5" s="5">
        <v>43606</v>
      </c>
      <c r="B5" s="3">
        <v>8</v>
      </c>
      <c r="C5" s="3" t="s">
        <v>22</v>
      </c>
      <c r="D5" s="3">
        <v>1</v>
      </c>
      <c r="E5" s="3">
        <v>280</v>
      </c>
      <c r="F5" s="3">
        <v>41.7</v>
      </c>
      <c r="G5" s="3">
        <v>96.3</v>
      </c>
      <c r="H5" s="3">
        <v>0</v>
      </c>
      <c r="I5" s="3">
        <v>750</v>
      </c>
      <c r="J5" s="3">
        <v>720</v>
      </c>
      <c r="K5" s="3" t="s">
        <v>20</v>
      </c>
      <c r="L5" s="3" t="s">
        <v>20</v>
      </c>
      <c r="M5" s="3" t="s">
        <v>20</v>
      </c>
      <c r="N5" s="3" t="s">
        <v>20</v>
      </c>
      <c r="O5" s="3" t="s">
        <v>20</v>
      </c>
      <c r="P5" s="6">
        <f t="shared" si="1"/>
        <v>1470</v>
      </c>
      <c r="Q5" s="6">
        <f t="shared" si="2"/>
        <v>1888</v>
      </c>
      <c r="R5" s="8">
        <f t="shared" si="0"/>
        <v>96.3</v>
      </c>
      <c r="S5" s="8">
        <v>41.7</v>
      </c>
      <c r="T5" s="8">
        <v>8</v>
      </c>
      <c r="U5" s="5">
        <v>43606</v>
      </c>
      <c r="V5" s="3" t="s">
        <v>21</v>
      </c>
      <c r="W5" s="3"/>
      <c r="X5" s="3"/>
    </row>
    <row r="6" spans="1:24" x14ac:dyDescent="0.2">
      <c r="A6" s="5">
        <v>43607</v>
      </c>
      <c r="B6" s="3">
        <v>1</v>
      </c>
      <c r="C6" s="3" t="s">
        <v>22</v>
      </c>
      <c r="D6" s="3">
        <v>2</v>
      </c>
      <c r="E6" s="3">
        <v>270</v>
      </c>
      <c r="F6" s="3">
        <v>41.7</v>
      </c>
      <c r="G6" s="3">
        <v>96.3</v>
      </c>
      <c r="H6" s="3">
        <v>0</v>
      </c>
      <c r="I6" s="3">
        <v>810</v>
      </c>
      <c r="J6" s="3">
        <v>730</v>
      </c>
      <c r="K6" s="3" t="s">
        <v>20</v>
      </c>
      <c r="L6" s="3" t="s">
        <v>20</v>
      </c>
      <c r="M6" s="3" t="s">
        <v>20</v>
      </c>
      <c r="N6" s="3" t="s">
        <v>20</v>
      </c>
      <c r="O6" s="3" t="s">
        <v>20</v>
      </c>
      <c r="P6" s="6">
        <f t="shared" si="1"/>
        <v>1540</v>
      </c>
      <c r="Q6" s="6">
        <f t="shared" si="2"/>
        <v>1948</v>
      </c>
      <c r="R6" s="8">
        <f t="shared" si="0"/>
        <v>96.3</v>
      </c>
      <c r="S6" s="8">
        <v>41.7</v>
      </c>
      <c r="T6" s="8">
        <v>1</v>
      </c>
      <c r="U6" s="5">
        <v>43607</v>
      </c>
      <c r="V6" s="3" t="s">
        <v>21</v>
      </c>
      <c r="W6" s="3"/>
      <c r="X6" s="3"/>
    </row>
    <row r="7" spans="1:24" x14ac:dyDescent="0.2">
      <c r="A7" s="5">
        <v>43608</v>
      </c>
      <c r="B7" s="3">
        <v>3</v>
      </c>
      <c r="C7" s="3" t="s">
        <v>22</v>
      </c>
      <c r="D7" s="3">
        <v>3</v>
      </c>
      <c r="E7" s="3">
        <v>280</v>
      </c>
      <c r="F7" s="3">
        <v>41.7</v>
      </c>
      <c r="G7" s="3">
        <v>96.3</v>
      </c>
      <c r="H7" s="3">
        <v>0</v>
      </c>
      <c r="I7" s="3">
        <v>670</v>
      </c>
      <c r="J7" s="3">
        <v>690</v>
      </c>
      <c r="K7" s="3" t="s">
        <v>20</v>
      </c>
      <c r="L7" s="3" t="s">
        <v>20</v>
      </c>
      <c r="M7" s="3" t="s">
        <v>20</v>
      </c>
      <c r="N7" s="3" t="s">
        <v>20</v>
      </c>
      <c r="O7" s="3" t="s">
        <v>20</v>
      </c>
      <c r="P7" s="6">
        <f t="shared" si="1"/>
        <v>1360</v>
      </c>
      <c r="Q7" s="6">
        <f t="shared" si="2"/>
        <v>1778</v>
      </c>
      <c r="R7" s="8">
        <f t="shared" si="0"/>
        <v>96.3</v>
      </c>
      <c r="S7" s="8">
        <v>41.7</v>
      </c>
      <c r="T7" s="8">
        <v>3</v>
      </c>
      <c r="U7" s="5">
        <v>43608</v>
      </c>
      <c r="V7" s="3" t="s">
        <v>21</v>
      </c>
      <c r="W7" s="3"/>
      <c r="X7" s="3"/>
    </row>
    <row r="8" spans="1:24" x14ac:dyDescent="0.2">
      <c r="A8" s="5">
        <v>43606</v>
      </c>
      <c r="B8" s="3">
        <v>7</v>
      </c>
      <c r="C8" s="3" t="s">
        <v>23</v>
      </c>
      <c r="D8" s="3">
        <v>1</v>
      </c>
      <c r="E8" s="3">
        <v>260</v>
      </c>
      <c r="F8" s="3">
        <v>41.7</v>
      </c>
      <c r="G8" s="3">
        <v>96.3</v>
      </c>
      <c r="H8" s="3">
        <v>0</v>
      </c>
      <c r="I8" s="3">
        <v>690</v>
      </c>
      <c r="J8" s="3">
        <f>720-48.1</f>
        <v>671.9</v>
      </c>
      <c r="K8" s="3" t="s">
        <v>20</v>
      </c>
      <c r="L8" s="3" t="s">
        <v>20</v>
      </c>
      <c r="M8" s="3" t="s">
        <v>20</v>
      </c>
      <c r="N8" s="3" t="s">
        <v>20</v>
      </c>
      <c r="O8" s="3" t="s">
        <v>20</v>
      </c>
      <c r="P8" s="6">
        <f t="shared" si="1"/>
        <v>1361.9</v>
      </c>
      <c r="Q8" s="6">
        <f t="shared" si="2"/>
        <v>1759.9</v>
      </c>
      <c r="R8" s="8">
        <f t="shared" si="0"/>
        <v>96.3</v>
      </c>
      <c r="S8" s="8">
        <v>41.7</v>
      </c>
      <c r="T8" s="8">
        <v>7</v>
      </c>
      <c r="U8" s="5">
        <v>43606</v>
      </c>
      <c r="V8" s="3" t="s">
        <v>21</v>
      </c>
      <c r="W8" s="3"/>
      <c r="X8" s="3"/>
    </row>
    <row r="9" spans="1:24" x14ac:dyDescent="0.2">
      <c r="A9" s="5">
        <v>43607</v>
      </c>
      <c r="B9" s="3">
        <v>4</v>
      </c>
      <c r="C9" s="3" t="s">
        <v>23</v>
      </c>
      <c r="D9" s="3">
        <v>2</v>
      </c>
      <c r="E9" s="3">
        <v>320</v>
      </c>
      <c r="F9" s="3">
        <v>41.7</v>
      </c>
      <c r="G9" s="3">
        <v>96.3</v>
      </c>
      <c r="H9" s="3">
        <v>0</v>
      </c>
      <c r="I9" s="3">
        <v>650</v>
      </c>
      <c r="J9" s="3">
        <v>650</v>
      </c>
      <c r="K9" s="3" t="s">
        <v>20</v>
      </c>
      <c r="L9" s="3" t="s">
        <v>20</v>
      </c>
      <c r="M9" s="3" t="s">
        <v>20</v>
      </c>
      <c r="N9" s="3" t="s">
        <v>20</v>
      </c>
      <c r="O9" s="3" t="s">
        <v>20</v>
      </c>
      <c r="P9" s="6">
        <f t="shared" si="1"/>
        <v>1300</v>
      </c>
      <c r="Q9" s="6">
        <f t="shared" si="2"/>
        <v>1758</v>
      </c>
      <c r="R9" s="8">
        <f t="shared" si="0"/>
        <v>96.3</v>
      </c>
      <c r="S9" s="8">
        <v>41.7</v>
      </c>
      <c r="T9" s="8">
        <v>4</v>
      </c>
      <c r="U9" s="5">
        <v>43607</v>
      </c>
      <c r="V9" s="3" t="s">
        <v>21</v>
      </c>
      <c r="W9" s="3"/>
      <c r="X9" s="3"/>
    </row>
    <row r="10" spans="1:24" x14ac:dyDescent="0.2">
      <c r="A10" s="5">
        <v>43608</v>
      </c>
      <c r="B10" s="3">
        <v>6</v>
      </c>
      <c r="C10" s="3" t="s">
        <v>23</v>
      </c>
      <c r="D10" s="3">
        <v>3</v>
      </c>
      <c r="E10" s="3">
        <v>270</v>
      </c>
      <c r="F10" s="3">
        <v>41.7</v>
      </c>
      <c r="G10" s="3">
        <v>96.3</v>
      </c>
      <c r="H10" s="3">
        <v>0</v>
      </c>
      <c r="I10" s="3">
        <v>770</v>
      </c>
      <c r="J10" s="3">
        <f>680-48.1</f>
        <v>631.9</v>
      </c>
      <c r="K10" s="3" t="s">
        <v>20</v>
      </c>
      <c r="L10" s="3" t="s">
        <v>20</v>
      </c>
      <c r="M10" s="3" t="s">
        <v>20</v>
      </c>
      <c r="N10" s="3" t="s">
        <v>20</v>
      </c>
      <c r="O10" s="3" t="s">
        <v>20</v>
      </c>
      <c r="P10" s="12">
        <f t="shared" si="1"/>
        <v>1401.9</v>
      </c>
      <c r="Q10" s="6">
        <f t="shared" si="2"/>
        <v>1809.9</v>
      </c>
      <c r="R10" s="8">
        <f t="shared" si="0"/>
        <v>96.3</v>
      </c>
      <c r="S10" s="8">
        <v>41.7</v>
      </c>
      <c r="T10" s="8">
        <v>6</v>
      </c>
      <c r="U10" s="5">
        <v>43608</v>
      </c>
      <c r="V10" s="3" t="s">
        <v>21</v>
      </c>
      <c r="W10" s="3"/>
      <c r="X10" s="3"/>
    </row>
    <row r="11" spans="1:24" x14ac:dyDescent="0.2">
      <c r="A11" s="7">
        <v>43619</v>
      </c>
      <c r="B11" s="3">
        <v>5</v>
      </c>
      <c r="C11" s="3" t="s">
        <v>19</v>
      </c>
      <c r="D11" s="3">
        <v>1</v>
      </c>
      <c r="E11" s="3">
        <v>230</v>
      </c>
      <c r="F11" s="3">
        <f>(M11+N11)-E11</f>
        <v>100</v>
      </c>
      <c r="G11" s="3">
        <v>53.48</v>
      </c>
      <c r="H11" s="3">
        <v>39.94</v>
      </c>
      <c r="I11" s="3" t="s">
        <v>20</v>
      </c>
      <c r="J11" s="3" t="s">
        <v>20</v>
      </c>
      <c r="K11" s="3">
        <v>870</v>
      </c>
      <c r="L11" s="3">
        <v>850</v>
      </c>
      <c r="M11" s="8">
        <v>160</v>
      </c>
      <c r="N11" s="8">
        <v>170</v>
      </c>
      <c r="O11" s="9">
        <f>M11+N11</f>
        <v>330</v>
      </c>
      <c r="P11" s="12">
        <f>Q11-(G11+H11+O11)</f>
        <v>1296.58</v>
      </c>
      <c r="Q11" s="6">
        <f>K11+L11</f>
        <v>1720</v>
      </c>
      <c r="R11" s="8">
        <f t="shared" si="0"/>
        <v>93.419999999999987</v>
      </c>
      <c r="S11" s="8">
        <v>100</v>
      </c>
      <c r="T11" s="8">
        <v>5</v>
      </c>
      <c r="U11" s="7">
        <v>43619</v>
      </c>
      <c r="V11" s="3" t="s">
        <v>24</v>
      </c>
      <c r="W11" s="3">
        <f>Q11-Q20</f>
        <v>40</v>
      </c>
      <c r="X11" s="16">
        <f>P11-P20</f>
        <v>-22.840000000000146</v>
      </c>
    </row>
    <row r="12" spans="1:24" x14ac:dyDescent="0.2">
      <c r="A12" s="7">
        <v>43619</v>
      </c>
      <c r="B12" s="3">
        <v>9</v>
      </c>
      <c r="C12" s="3" t="s">
        <v>19</v>
      </c>
      <c r="D12" s="3">
        <v>2</v>
      </c>
      <c r="E12" s="3">
        <v>280</v>
      </c>
      <c r="F12" s="3">
        <f t="shared" ref="F12:F19" si="3">(M12+N12)-E12</f>
        <v>80</v>
      </c>
      <c r="G12" s="3">
        <v>51.54</v>
      </c>
      <c r="H12" s="3">
        <v>47.72</v>
      </c>
      <c r="I12" s="3" t="s">
        <v>20</v>
      </c>
      <c r="J12" s="3" t="s">
        <v>20</v>
      </c>
      <c r="K12" s="3">
        <v>920</v>
      </c>
      <c r="L12" s="3">
        <v>970</v>
      </c>
      <c r="M12" s="8">
        <v>170</v>
      </c>
      <c r="N12" s="8">
        <v>190</v>
      </c>
      <c r="O12" s="9">
        <f t="shared" ref="O12:O19" si="4">M12+N12</f>
        <v>360</v>
      </c>
      <c r="P12" s="12">
        <f t="shared" ref="P12:P19" si="5">Q12-(G12+H12+O12)</f>
        <v>1430.74</v>
      </c>
      <c r="Q12" s="6">
        <f t="shared" ref="Q12:Q28" si="6">K12+L12</f>
        <v>1890</v>
      </c>
      <c r="R12" s="8">
        <f t="shared" si="0"/>
        <v>99.259999999999991</v>
      </c>
      <c r="S12" s="8">
        <v>80</v>
      </c>
      <c r="T12" s="8">
        <v>9</v>
      </c>
      <c r="U12" s="7">
        <v>43619</v>
      </c>
      <c r="V12" s="3" t="s">
        <v>24</v>
      </c>
      <c r="W12" s="3">
        <f t="shared" ref="W12:W19" si="7">Q12-Q21</f>
        <v>140</v>
      </c>
      <c r="X12" s="16">
        <f t="shared" ref="X12:X19" si="8">P12-P21</f>
        <v>101.09999999999991</v>
      </c>
    </row>
    <row r="13" spans="1:24" x14ac:dyDescent="0.2">
      <c r="A13" s="7">
        <v>43620</v>
      </c>
      <c r="B13" s="3">
        <v>2</v>
      </c>
      <c r="C13" s="3" t="s">
        <v>19</v>
      </c>
      <c r="D13" s="3">
        <v>3</v>
      </c>
      <c r="E13" s="3">
        <v>250</v>
      </c>
      <c r="F13" s="3">
        <f t="shared" si="3"/>
        <v>60</v>
      </c>
      <c r="G13" s="3">
        <v>48.76</v>
      </c>
      <c r="H13" s="3">
        <v>45.18</v>
      </c>
      <c r="I13" s="3" t="s">
        <v>20</v>
      </c>
      <c r="J13" s="3" t="s">
        <v>20</v>
      </c>
      <c r="K13" s="3">
        <v>850</v>
      </c>
      <c r="L13" s="3">
        <v>860</v>
      </c>
      <c r="M13" s="8">
        <v>160</v>
      </c>
      <c r="N13" s="8">
        <v>150</v>
      </c>
      <c r="O13" s="9">
        <f t="shared" si="4"/>
        <v>310</v>
      </c>
      <c r="P13" s="12">
        <f t="shared" si="5"/>
        <v>1306.06</v>
      </c>
      <c r="Q13" s="6">
        <f>K13+L13</f>
        <v>1710</v>
      </c>
      <c r="R13" s="8">
        <f t="shared" si="0"/>
        <v>93.94</v>
      </c>
      <c r="S13" s="8">
        <v>60</v>
      </c>
      <c r="T13" s="8">
        <v>2</v>
      </c>
      <c r="U13" s="7">
        <v>43620</v>
      </c>
      <c r="V13" s="3" t="s">
        <v>24</v>
      </c>
      <c r="W13" s="3">
        <f t="shared" si="7"/>
        <v>-100</v>
      </c>
      <c r="X13" s="16">
        <f t="shared" si="8"/>
        <v>-124.48000000000002</v>
      </c>
    </row>
    <row r="14" spans="1:24" x14ac:dyDescent="0.2">
      <c r="A14" s="7">
        <v>43619</v>
      </c>
      <c r="B14" s="3">
        <v>8</v>
      </c>
      <c r="C14" s="3" t="s">
        <v>22</v>
      </c>
      <c r="D14" s="3">
        <v>1</v>
      </c>
      <c r="E14" s="3">
        <v>280</v>
      </c>
      <c r="F14" s="3">
        <f t="shared" si="3"/>
        <v>80</v>
      </c>
      <c r="G14" s="3">
        <v>44.94</v>
      </c>
      <c r="H14" s="3">
        <v>44.98</v>
      </c>
      <c r="I14" s="3" t="s">
        <v>20</v>
      </c>
      <c r="J14" s="3" t="s">
        <v>20</v>
      </c>
      <c r="K14" s="3">
        <v>830</v>
      </c>
      <c r="L14" s="3">
        <v>880</v>
      </c>
      <c r="M14" s="8">
        <v>160</v>
      </c>
      <c r="N14" s="8">
        <v>200</v>
      </c>
      <c r="O14" s="9">
        <f t="shared" si="4"/>
        <v>360</v>
      </c>
      <c r="P14" s="12">
        <f t="shared" si="5"/>
        <v>1260.08</v>
      </c>
      <c r="Q14" s="6">
        <f t="shared" si="6"/>
        <v>1710</v>
      </c>
      <c r="R14" s="8">
        <f t="shared" si="0"/>
        <v>89.919999999999987</v>
      </c>
      <c r="S14" s="8">
        <v>80</v>
      </c>
      <c r="T14" s="8">
        <v>8</v>
      </c>
      <c r="U14" s="7">
        <v>43619</v>
      </c>
      <c r="V14" s="3" t="s">
        <v>24</v>
      </c>
      <c r="W14" s="3">
        <f t="shared" si="7"/>
        <v>30</v>
      </c>
      <c r="X14" s="16">
        <f t="shared" si="8"/>
        <v>-9.1600000000000819</v>
      </c>
    </row>
    <row r="15" spans="1:24" x14ac:dyDescent="0.2">
      <c r="A15" s="7">
        <v>43619</v>
      </c>
      <c r="B15" s="3">
        <v>1</v>
      </c>
      <c r="C15" s="3" t="s">
        <v>22</v>
      </c>
      <c r="D15" s="3">
        <v>2</v>
      </c>
      <c r="E15" s="3">
        <v>270</v>
      </c>
      <c r="F15" s="3">
        <f t="shared" si="3"/>
        <v>70</v>
      </c>
      <c r="G15" s="3">
        <v>45.519999999999996</v>
      </c>
      <c r="H15" s="3">
        <v>41.36</v>
      </c>
      <c r="I15" s="3" t="s">
        <v>20</v>
      </c>
      <c r="J15" s="3" t="s">
        <v>20</v>
      </c>
      <c r="K15" s="3">
        <v>810</v>
      </c>
      <c r="L15" s="3">
        <v>910</v>
      </c>
      <c r="M15" s="8">
        <v>200</v>
      </c>
      <c r="N15" s="8">
        <v>140</v>
      </c>
      <c r="O15" s="9">
        <f t="shared" si="4"/>
        <v>340</v>
      </c>
      <c r="P15" s="12">
        <f t="shared" si="5"/>
        <v>1293.1199999999999</v>
      </c>
      <c r="Q15" s="6">
        <f t="shared" si="6"/>
        <v>1720</v>
      </c>
      <c r="R15" s="8">
        <f t="shared" si="0"/>
        <v>86.88</v>
      </c>
      <c r="S15" s="8">
        <v>70</v>
      </c>
      <c r="T15" s="8">
        <v>1</v>
      </c>
      <c r="U15" s="7">
        <v>43619</v>
      </c>
      <c r="V15" s="3" t="s">
        <v>24</v>
      </c>
      <c r="W15" s="3">
        <f t="shared" si="7"/>
        <v>80</v>
      </c>
      <c r="X15" s="16">
        <f t="shared" si="8"/>
        <v>33.460000000000036</v>
      </c>
    </row>
    <row r="16" spans="1:24" x14ac:dyDescent="0.2">
      <c r="A16" s="7">
        <v>43620</v>
      </c>
      <c r="B16" s="3">
        <v>3</v>
      </c>
      <c r="C16" s="3" t="s">
        <v>22</v>
      </c>
      <c r="D16" s="3">
        <v>3</v>
      </c>
      <c r="E16" s="3">
        <v>280</v>
      </c>
      <c r="F16" s="3">
        <f t="shared" si="3"/>
        <v>80</v>
      </c>
      <c r="G16" s="3">
        <v>48.54</v>
      </c>
      <c r="H16" s="3">
        <v>42.1</v>
      </c>
      <c r="I16" s="3" t="s">
        <v>20</v>
      </c>
      <c r="J16" s="3" t="s">
        <v>20</v>
      </c>
      <c r="K16" s="3">
        <v>780</v>
      </c>
      <c r="L16" s="3">
        <v>800</v>
      </c>
      <c r="M16" s="8">
        <v>170</v>
      </c>
      <c r="N16" s="8">
        <v>190</v>
      </c>
      <c r="O16" s="9">
        <f t="shared" si="4"/>
        <v>360</v>
      </c>
      <c r="P16" s="12">
        <f t="shared" si="5"/>
        <v>1129.3600000000001</v>
      </c>
      <c r="Q16" s="6">
        <f t="shared" si="6"/>
        <v>1580</v>
      </c>
      <c r="R16" s="8">
        <f t="shared" si="0"/>
        <v>90.64</v>
      </c>
      <c r="S16" s="8">
        <v>80</v>
      </c>
      <c r="T16" s="8">
        <v>3</v>
      </c>
      <c r="U16" s="7">
        <v>43620</v>
      </c>
      <c r="V16" s="3" t="s">
        <v>24</v>
      </c>
      <c r="W16" s="3">
        <f t="shared" si="7"/>
        <v>-50</v>
      </c>
      <c r="X16" s="16">
        <f t="shared" si="8"/>
        <v>-90.159999999999854</v>
      </c>
    </row>
    <row r="17" spans="1:24" x14ac:dyDescent="0.2">
      <c r="A17" s="7">
        <v>43619</v>
      </c>
      <c r="B17" s="3">
        <v>7</v>
      </c>
      <c r="C17" s="3" t="s">
        <v>25</v>
      </c>
      <c r="D17" s="3">
        <v>1</v>
      </c>
      <c r="E17" s="3">
        <v>260</v>
      </c>
      <c r="F17" s="3">
        <f t="shared" si="3"/>
        <v>90</v>
      </c>
      <c r="G17" s="3">
        <v>39.620000000000005</v>
      </c>
      <c r="H17" s="3">
        <v>47.5</v>
      </c>
      <c r="I17" s="3" t="s">
        <v>20</v>
      </c>
      <c r="J17" s="3" t="s">
        <v>20</v>
      </c>
      <c r="K17" s="3">
        <v>570</v>
      </c>
      <c r="L17" s="3">
        <v>1060</v>
      </c>
      <c r="M17" s="8">
        <v>160</v>
      </c>
      <c r="N17" s="8">
        <v>190</v>
      </c>
      <c r="O17" s="9">
        <f t="shared" si="4"/>
        <v>350</v>
      </c>
      <c r="P17" s="12">
        <f t="shared" si="5"/>
        <v>1192.8800000000001</v>
      </c>
      <c r="Q17" s="6">
        <f t="shared" si="6"/>
        <v>1630</v>
      </c>
      <c r="R17" s="8">
        <f t="shared" si="0"/>
        <v>87.12</v>
      </c>
      <c r="S17" s="8">
        <v>90</v>
      </c>
      <c r="T17" s="8">
        <v>7</v>
      </c>
      <c r="U17" s="7">
        <v>43619</v>
      </c>
      <c r="V17" s="3" t="s">
        <v>24</v>
      </c>
      <c r="W17" s="3">
        <f t="shared" si="7"/>
        <v>50</v>
      </c>
      <c r="X17" s="16">
        <f t="shared" si="8"/>
        <v>-14.699999999999818</v>
      </c>
    </row>
    <row r="18" spans="1:24" x14ac:dyDescent="0.2">
      <c r="A18" s="7">
        <v>43619</v>
      </c>
      <c r="B18" s="3">
        <v>4</v>
      </c>
      <c r="C18" s="3" t="s">
        <v>23</v>
      </c>
      <c r="D18" s="3">
        <v>2</v>
      </c>
      <c r="E18" s="3">
        <v>320</v>
      </c>
      <c r="F18" s="3">
        <f t="shared" si="3"/>
        <v>60</v>
      </c>
      <c r="G18" s="3">
        <v>39.059999999999995</v>
      </c>
      <c r="H18" s="3">
        <v>51.48</v>
      </c>
      <c r="I18" s="3" t="s">
        <v>20</v>
      </c>
      <c r="J18" s="3" t="s">
        <v>20</v>
      </c>
      <c r="K18" s="3">
        <v>790</v>
      </c>
      <c r="L18" s="3">
        <v>880</v>
      </c>
      <c r="M18" s="8">
        <v>210</v>
      </c>
      <c r="N18" s="8">
        <v>170</v>
      </c>
      <c r="O18" s="9">
        <f t="shared" si="4"/>
        <v>380</v>
      </c>
      <c r="P18" s="12">
        <f t="shared" si="5"/>
        <v>1199.46</v>
      </c>
      <c r="Q18" s="6">
        <f t="shared" si="6"/>
        <v>1670</v>
      </c>
      <c r="R18" s="8">
        <f t="shared" si="0"/>
        <v>90.539999999999992</v>
      </c>
      <c r="S18" s="8">
        <v>60</v>
      </c>
      <c r="T18" s="8">
        <v>4</v>
      </c>
      <c r="U18" s="7">
        <v>43619</v>
      </c>
      <c r="V18" s="3" t="s">
        <v>24</v>
      </c>
      <c r="W18" s="3">
        <f t="shared" si="7"/>
        <v>30</v>
      </c>
      <c r="X18" s="16">
        <f t="shared" si="8"/>
        <v>-6.3400000000001455</v>
      </c>
    </row>
    <row r="19" spans="1:24" x14ac:dyDescent="0.2">
      <c r="A19" s="7">
        <v>43620</v>
      </c>
      <c r="B19" s="3">
        <v>6</v>
      </c>
      <c r="C19" s="3" t="s">
        <v>23</v>
      </c>
      <c r="D19" s="3">
        <v>3</v>
      </c>
      <c r="E19" s="3">
        <v>270</v>
      </c>
      <c r="F19" s="3">
        <f t="shared" si="3"/>
        <v>50</v>
      </c>
      <c r="G19" s="3">
        <v>48.5</v>
      </c>
      <c r="H19" s="3">
        <v>41.44</v>
      </c>
      <c r="I19" s="3" t="s">
        <v>20</v>
      </c>
      <c r="J19" s="3" t="s">
        <v>20</v>
      </c>
      <c r="K19" s="3">
        <v>770</v>
      </c>
      <c r="L19" s="3">
        <v>760</v>
      </c>
      <c r="M19" s="8">
        <v>150</v>
      </c>
      <c r="N19" s="8">
        <v>170</v>
      </c>
      <c r="O19" s="9">
        <f t="shared" si="4"/>
        <v>320</v>
      </c>
      <c r="P19" s="12">
        <f t="shared" si="5"/>
        <v>1120.06</v>
      </c>
      <c r="Q19" s="6">
        <f t="shared" si="6"/>
        <v>1530</v>
      </c>
      <c r="R19" s="8">
        <f t="shared" si="0"/>
        <v>89.94</v>
      </c>
      <c r="S19" s="8">
        <v>50</v>
      </c>
      <c r="T19" s="8">
        <v>6</v>
      </c>
      <c r="U19" s="7">
        <v>43620</v>
      </c>
      <c r="V19" s="3" t="s">
        <v>24</v>
      </c>
      <c r="W19" s="3">
        <f t="shared" si="7"/>
        <v>20</v>
      </c>
      <c r="X19" s="16">
        <f t="shared" si="8"/>
        <v>-12.599999999999909</v>
      </c>
    </row>
    <row r="20" spans="1:24" x14ac:dyDescent="0.2">
      <c r="A20" s="7">
        <v>43640</v>
      </c>
      <c r="B20" s="3">
        <v>5</v>
      </c>
      <c r="C20" s="3" t="s">
        <v>19</v>
      </c>
      <c r="D20" s="3">
        <v>1</v>
      </c>
      <c r="E20" s="3">
        <f t="shared" ref="E20:E28" si="9">E11</f>
        <v>230</v>
      </c>
      <c r="F20" s="3">
        <v>48.36</v>
      </c>
      <c r="G20" s="3">
        <v>37.5</v>
      </c>
      <c r="H20" s="3">
        <v>44.72</v>
      </c>
      <c r="I20" s="3" t="s">
        <v>20</v>
      </c>
      <c r="J20" s="3" t="s">
        <v>20</v>
      </c>
      <c r="K20" s="3">
        <v>860</v>
      </c>
      <c r="L20" s="3">
        <v>820</v>
      </c>
      <c r="M20" s="3" t="s">
        <v>20</v>
      </c>
      <c r="N20" s="3" t="s">
        <v>20</v>
      </c>
      <c r="O20" s="3" t="s">
        <v>20</v>
      </c>
      <c r="P20" s="12">
        <f>Q20-(E20+F20+G20+H20)</f>
        <v>1319.42</v>
      </c>
      <c r="Q20" s="6">
        <f>K20+L20</f>
        <v>1680</v>
      </c>
      <c r="R20" s="8">
        <f t="shared" si="0"/>
        <v>82.22</v>
      </c>
      <c r="S20" s="8">
        <v>48.36</v>
      </c>
      <c r="T20" s="8">
        <v>5</v>
      </c>
      <c r="U20" s="7">
        <v>43640</v>
      </c>
      <c r="V20" s="3" t="s">
        <v>26</v>
      </c>
      <c r="W20" s="3"/>
      <c r="X20" s="3"/>
    </row>
    <row r="21" spans="1:24" x14ac:dyDescent="0.2">
      <c r="A21" s="7">
        <v>43641</v>
      </c>
      <c r="B21" s="3">
        <v>9</v>
      </c>
      <c r="C21" s="3" t="s">
        <v>19</v>
      </c>
      <c r="D21" s="3">
        <v>2</v>
      </c>
      <c r="E21" s="3">
        <f t="shared" si="9"/>
        <v>280</v>
      </c>
      <c r="F21" s="3">
        <v>52.9</v>
      </c>
      <c r="G21" s="3">
        <v>47.66</v>
      </c>
      <c r="H21" s="3">
        <v>39.799999999999997</v>
      </c>
      <c r="I21" s="3" t="s">
        <v>20</v>
      </c>
      <c r="J21" s="3" t="s">
        <v>20</v>
      </c>
      <c r="K21" s="3">
        <v>840</v>
      </c>
      <c r="L21" s="3">
        <v>910</v>
      </c>
      <c r="M21" s="3" t="s">
        <v>20</v>
      </c>
      <c r="N21" s="3" t="s">
        <v>20</v>
      </c>
      <c r="O21" s="3" t="s">
        <v>20</v>
      </c>
      <c r="P21" s="12">
        <f t="shared" ref="P21:P28" si="10">Q21-(E21+F21+G21+H21)</f>
        <v>1329.64</v>
      </c>
      <c r="Q21" s="6">
        <f t="shared" si="6"/>
        <v>1750</v>
      </c>
      <c r="R21" s="8">
        <f t="shared" si="0"/>
        <v>87.46</v>
      </c>
      <c r="S21" s="8">
        <v>52.9</v>
      </c>
      <c r="T21" s="8">
        <v>9</v>
      </c>
      <c r="U21" s="7">
        <v>43641</v>
      </c>
      <c r="V21" s="3" t="s">
        <v>26</v>
      </c>
      <c r="W21" s="3"/>
      <c r="X21" s="3"/>
    </row>
    <row r="22" spans="1:24" x14ac:dyDescent="0.2">
      <c r="A22" s="7">
        <v>43641</v>
      </c>
      <c r="B22" s="3">
        <v>2</v>
      </c>
      <c r="C22" s="3" t="s">
        <v>19</v>
      </c>
      <c r="D22" s="3">
        <v>3</v>
      </c>
      <c r="E22" s="3">
        <f t="shared" si="9"/>
        <v>250</v>
      </c>
      <c r="F22" s="3">
        <v>50.58</v>
      </c>
      <c r="G22" s="3">
        <v>43.36</v>
      </c>
      <c r="H22" s="3">
        <v>35.520000000000003</v>
      </c>
      <c r="I22" s="3" t="s">
        <v>20</v>
      </c>
      <c r="J22" s="3" t="s">
        <v>20</v>
      </c>
      <c r="K22" s="3">
        <v>900</v>
      </c>
      <c r="L22" s="3">
        <v>910</v>
      </c>
      <c r="M22" s="3" t="s">
        <v>20</v>
      </c>
      <c r="N22" s="3" t="s">
        <v>20</v>
      </c>
      <c r="O22" s="3" t="s">
        <v>20</v>
      </c>
      <c r="P22" s="12">
        <f t="shared" si="10"/>
        <v>1430.54</v>
      </c>
      <c r="Q22" s="6">
        <f t="shared" si="6"/>
        <v>1810</v>
      </c>
      <c r="R22" s="8">
        <f t="shared" si="0"/>
        <v>78.88</v>
      </c>
      <c r="S22" s="8">
        <v>50.58</v>
      </c>
      <c r="T22" s="8">
        <v>2</v>
      </c>
      <c r="U22" s="7">
        <v>43641</v>
      </c>
      <c r="V22" s="3" t="s">
        <v>26</v>
      </c>
      <c r="W22" s="3"/>
      <c r="X22" s="3"/>
    </row>
    <row r="23" spans="1:24" x14ac:dyDescent="0.2">
      <c r="A23" s="7">
        <v>43640</v>
      </c>
      <c r="B23" s="3">
        <v>8</v>
      </c>
      <c r="C23" s="3" t="s">
        <v>22</v>
      </c>
      <c r="D23" s="3">
        <v>1</v>
      </c>
      <c r="E23" s="3">
        <f t="shared" si="9"/>
        <v>280</v>
      </c>
      <c r="F23" s="3">
        <v>48.66</v>
      </c>
      <c r="G23" s="3">
        <v>44.92</v>
      </c>
      <c r="H23" s="3">
        <v>37.18</v>
      </c>
      <c r="I23" s="3" t="s">
        <v>20</v>
      </c>
      <c r="J23" s="3" t="s">
        <v>20</v>
      </c>
      <c r="K23" s="3">
        <v>890</v>
      </c>
      <c r="L23" s="3">
        <v>790</v>
      </c>
      <c r="M23" s="3" t="s">
        <v>20</v>
      </c>
      <c r="N23" s="3" t="s">
        <v>20</v>
      </c>
      <c r="O23" s="3" t="s">
        <v>20</v>
      </c>
      <c r="P23" s="12">
        <f t="shared" si="10"/>
        <v>1269.24</v>
      </c>
      <c r="Q23" s="6">
        <f t="shared" si="6"/>
        <v>1680</v>
      </c>
      <c r="R23" s="8">
        <f t="shared" si="0"/>
        <v>82.1</v>
      </c>
      <c r="S23" s="8">
        <v>48.66</v>
      </c>
      <c r="T23" s="8">
        <v>8</v>
      </c>
      <c r="U23" s="7">
        <v>43640</v>
      </c>
      <c r="V23" s="3" t="s">
        <v>26</v>
      </c>
      <c r="W23" s="3"/>
      <c r="X23" s="3"/>
    </row>
    <row r="24" spans="1:24" x14ac:dyDescent="0.2">
      <c r="A24" s="7">
        <v>43641</v>
      </c>
      <c r="B24" s="3">
        <v>1</v>
      </c>
      <c r="C24" s="3" t="s">
        <v>22</v>
      </c>
      <c r="D24" s="3">
        <v>2</v>
      </c>
      <c r="E24" s="3">
        <f t="shared" si="9"/>
        <v>270</v>
      </c>
      <c r="F24" s="3">
        <v>38.840000000000003</v>
      </c>
      <c r="G24" s="3">
        <v>41.72</v>
      </c>
      <c r="H24" s="3">
        <v>29.78</v>
      </c>
      <c r="I24" s="3" t="s">
        <v>20</v>
      </c>
      <c r="J24" s="3" t="s">
        <v>20</v>
      </c>
      <c r="K24" s="3">
        <v>850</v>
      </c>
      <c r="L24" s="3">
        <v>790</v>
      </c>
      <c r="M24" s="3" t="s">
        <v>20</v>
      </c>
      <c r="N24" s="3" t="s">
        <v>20</v>
      </c>
      <c r="O24" s="3" t="s">
        <v>20</v>
      </c>
      <c r="P24" s="12">
        <f t="shared" si="10"/>
        <v>1259.6599999999999</v>
      </c>
      <c r="Q24" s="6">
        <f t="shared" si="6"/>
        <v>1640</v>
      </c>
      <c r="R24" s="8">
        <f t="shared" si="0"/>
        <v>71.5</v>
      </c>
      <c r="S24" s="8">
        <v>38.840000000000003</v>
      </c>
      <c r="T24" s="8">
        <v>1</v>
      </c>
      <c r="U24" s="7">
        <v>43641</v>
      </c>
      <c r="V24" s="3" t="s">
        <v>26</v>
      </c>
      <c r="W24" s="3"/>
      <c r="X24" s="3"/>
    </row>
    <row r="25" spans="1:24" x14ac:dyDescent="0.2">
      <c r="A25" s="7">
        <v>43641</v>
      </c>
      <c r="B25" s="3">
        <v>3</v>
      </c>
      <c r="C25" s="3" t="s">
        <v>22</v>
      </c>
      <c r="D25" s="3">
        <v>3</v>
      </c>
      <c r="E25" s="3">
        <f t="shared" si="9"/>
        <v>280</v>
      </c>
      <c r="F25" s="3">
        <v>53.22</v>
      </c>
      <c r="G25" s="3">
        <v>37.5</v>
      </c>
      <c r="H25" s="3">
        <v>39.76</v>
      </c>
      <c r="I25" s="3" t="s">
        <v>20</v>
      </c>
      <c r="J25" s="3" t="s">
        <v>20</v>
      </c>
      <c r="K25" s="3">
        <v>860</v>
      </c>
      <c r="L25" s="3">
        <v>770</v>
      </c>
      <c r="M25" s="3" t="s">
        <v>20</v>
      </c>
      <c r="N25" s="3" t="s">
        <v>20</v>
      </c>
      <c r="O25" s="3" t="s">
        <v>20</v>
      </c>
      <c r="P25" s="12">
        <f t="shared" si="10"/>
        <v>1219.52</v>
      </c>
      <c r="Q25" s="6">
        <f t="shared" si="6"/>
        <v>1630</v>
      </c>
      <c r="R25" s="8">
        <f t="shared" si="0"/>
        <v>77.259999999999991</v>
      </c>
      <c r="S25" s="8">
        <v>53.22</v>
      </c>
      <c r="T25" s="8">
        <v>3</v>
      </c>
      <c r="U25" s="7">
        <v>43641</v>
      </c>
      <c r="V25" s="3" t="s">
        <v>26</v>
      </c>
      <c r="W25" s="3"/>
      <c r="X25" s="3"/>
    </row>
    <row r="26" spans="1:24" x14ac:dyDescent="0.2">
      <c r="A26" s="7">
        <v>43640</v>
      </c>
      <c r="B26" s="3">
        <v>7</v>
      </c>
      <c r="C26" s="3" t="s">
        <v>25</v>
      </c>
      <c r="D26" s="3">
        <v>1</v>
      </c>
      <c r="E26" s="3">
        <f t="shared" si="9"/>
        <v>260</v>
      </c>
      <c r="F26" s="3">
        <v>35.14</v>
      </c>
      <c r="G26" s="3">
        <v>42.04</v>
      </c>
      <c r="H26" s="3">
        <v>35.24</v>
      </c>
      <c r="I26" s="3" t="s">
        <v>20</v>
      </c>
      <c r="J26" s="3" t="s">
        <v>20</v>
      </c>
      <c r="K26" s="3">
        <v>780</v>
      </c>
      <c r="L26" s="3">
        <v>800</v>
      </c>
      <c r="M26" s="3" t="s">
        <v>20</v>
      </c>
      <c r="N26" s="3" t="s">
        <v>20</v>
      </c>
      <c r="O26" s="3" t="s">
        <v>20</v>
      </c>
      <c r="P26" s="12">
        <f t="shared" si="10"/>
        <v>1207.58</v>
      </c>
      <c r="Q26" s="6">
        <f t="shared" si="6"/>
        <v>1580</v>
      </c>
      <c r="R26" s="8">
        <f t="shared" si="0"/>
        <v>77.28</v>
      </c>
      <c r="S26" s="8">
        <v>35.14</v>
      </c>
      <c r="T26" s="8">
        <v>7</v>
      </c>
      <c r="U26" s="7">
        <v>43640</v>
      </c>
      <c r="V26" s="3" t="s">
        <v>26</v>
      </c>
      <c r="W26" s="3"/>
      <c r="X26" s="3"/>
    </row>
    <row r="27" spans="1:24" x14ac:dyDescent="0.2">
      <c r="A27" s="7">
        <v>43641</v>
      </c>
      <c r="B27" s="3">
        <v>4</v>
      </c>
      <c r="C27" s="3" t="s">
        <v>23</v>
      </c>
      <c r="D27" s="3">
        <v>2</v>
      </c>
      <c r="E27" s="3">
        <f t="shared" si="9"/>
        <v>320</v>
      </c>
      <c r="F27" s="3">
        <v>38.700000000000003</v>
      </c>
      <c r="G27" s="3">
        <v>43.34</v>
      </c>
      <c r="H27" s="3">
        <v>32.159999999999997</v>
      </c>
      <c r="I27" s="3" t="s">
        <v>20</v>
      </c>
      <c r="J27" s="3" t="s">
        <v>20</v>
      </c>
      <c r="K27" s="3">
        <v>830</v>
      </c>
      <c r="L27" s="3">
        <v>810</v>
      </c>
      <c r="M27" s="3" t="s">
        <v>20</v>
      </c>
      <c r="N27" s="3" t="s">
        <v>20</v>
      </c>
      <c r="O27" s="3" t="s">
        <v>20</v>
      </c>
      <c r="P27" s="12">
        <f t="shared" si="10"/>
        <v>1205.8000000000002</v>
      </c>
      <c r="Q27" s="6">
        <f t="shared" si="6"/>
        <v>1640</v>
      </c>
      <c r="R27" s="8">
        <f t="shared" si="0"/>
        <v>75.5</v>
      </c>
      <c r="S27" s="8">
        <v>38.700000000000003</v>
      </c>
      <c r="T27" s="8">
        <v>4</v>
      </c>
      <c r="U27" s="7">
        <v>43641</v>
      </c>
      <c r="V27" s="3" t="s">
        <v>26</v>
      </c>
      <c r="W27" s="3"/>
      <c r="X27" s="3"/>
    </row>
    <row r="28" spans="1:24" x14ac:dyDescent="0.2">
      <c r="A28" s="7">
        <v>43641</v>
      </c>
      <c r="B28" s="3">
        <v>6</v>
      </c>
      <c r="C28" s="3" t="s">
        <v>23</v>
      </c>
      <c r="D28" s="3">
        <v>3</v>
      </c>
      <c r="E28" s="3">
        <f t="shared" si="9"/>
        <v>270</v>
      </c>
      <c r="F28" s="3">
        <v>33.82</v>
      </c>
      <c r="G28" s="3">
        <v>44.1</v>
      </c>
      <c r="H28" s="3">
        <v>29.42</v>
      </c>
      <c r="I28" s="3" t="s">
        <v>20</v>
      </c>
      <c r="J28" s="3" t="s">
        <v>20</v>
      </c>
      <c r="K28" s="3">
        <v>750</v>
      </c>
      <c r="L28" s="3">
        <v>760</v>
      </c>
      <c r="M28" s="3" t="s">
        <v>20</v>
      </c>
      <c r="N28" s="3" t="s">
        <v>20</v>
      </c>
      <c r="O28" s="3" t="s">
        <v>20</v>
      </c>
      <c r="P28" s="12">
        <f t="shared" si="10"/>
        <v>1132.6599999999999</v>
      </c>
      <c r="Q28" s="6">
        <f t="shared" si="6"/>
        <v>1510</v>
      </c>
      <c r="R28" s="8">
        <f t="shared" si="0"/>
        <v>73.52000000000001</v>
      </c>
      <c r="S28" s="8">
        <v>33.82</v>
      </c>
      <c r="T28" s="8">
        <v>6</v>
      </c>
      <c r="U28" s="7">
        <v>43641</v>
      </c>
      <c r="V28" s="3" t="s">
        <v>26</v>
      </c>
      <c r="W28" s="3"/>
      <c r="X28" s="3"/>
    </row>
    <row r="30" spans="1:2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8"/>
      <c r="S30" s="8"/>
      <c r="T30" s="8"/>
      <c r="U30" s="3"/>
      <c r="V30" s="3"/>
      <c r="W30" s="3"/>
      <c r="X30" s="3"/>
    </row>
    <row r="31" spans="1:24" s="14" customFormat="1" ht="1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8"/>
      <c r="S31" s="8"/>
      <c r="T31" s="8"/>
      <c r="U31" s="3"/>
      <c r="V31" s="3"/>
      <c r="W31" s="3"/>
      <c r="X31" s="3"/>
    </row>
    <row r="32" spans="1:24" s="14" customFormat="1" ht="1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8"/>
      <c r="S32" s="8"/>
      <c r="T32" s="8"/>
      <c r="U32" s="3"/>
      <c r="V32" s="3"/>
      <c r="W32" s="3"/>
      <c r="X32" s="3"/>
    </row>
    <row r="33" spans="1:24" s="14" customFormat="1" ht="1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8"/>
      <c r="S33" s="8"/>
      <c r="T33" s="8"/>
      <c r="U33" s="3"/>
      <c r="V33" s="3"/>
      <c r="W33" s="3"/>
      <c r="X33" s="3"/>
    </row>
    <row r="34" spans="1:24" s="14" customFormat="1" ht="1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8"/>
      <c r="S34" s="8"/>
      <c r="T34" s="8"/>
      <c r="U34" s="3"/>
      <c r="V34" s="3"/>
      <c r="W34" s="3"/>
      <c r="X34" s="3"/>
    </row>
    <row r="35" spans="1:24" s="14" customFormat="1" ht="1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8"/>
      <c r="S35" s="8"/>
      <c r="T35" s="8"/>
      <c r="U35" s="3"/>
      <c r="V35" s="3"/>
      <c r="W35" s="3"/>
      <c r="X35" s="3"/>
    </row>
    <row r="36" spans="1:24" s="14" customFormat="1" ht="1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8"/>
      <c r="S36" s="8"/>
      <c r="T36" s="8"/>
      <c r="U36" s="3"/>
      <c r="V36" s="3"/>
      <c r="W36" s="3"/>
      <c r="X36" s="3"/>
    </row>
    <row r="37" spans="1:24" s="14" customFormat="1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8"/>
      <c r="S37" s="8"/>
      <c r="T37" s="8"/>
      <c r="U37" s="3"/>
      <c r="V37" s="3"/>
      <c r="W37" s="3"/>
      <c r="X37" s="3"/>
    </row>
    <row r="38" spans="1:24" s="14" customFormat="1" ht="1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8"/>
      <c r="S38" s="8"/>
      <c r="T38" s="8"/>
      <c r="U38" s="3"/>
      <c r="V38" s="3"/>
      <c r="W38" s="3"/>
      <c r="X38" s="3"/>
    </row>
    <row r="39" spans="1:24" s="14" customFormat="1" ht="1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8"/>
      <c r="S39" s="8"/>
      <c r="T39" s="8"/>
      <c r="U39" s="3"/>
      <c r="V39" s="3"/>
      <c r="W39" s="3"/>
      <c r="X39" s="3"/>
    </row>
    <row r="40" spans="1:24" s="14" customFormat="1" ht="1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8"/>
      <c r="S40" s="8"/>
      <c r="T40" s="8"/>
      <c r="U40" s="3"/>
      <c r="V40" s="3"/>
      <c r="W40" s="3"/>
      <c r="X40" s="3"/>
    </row>
  </sheetData>
  <sortState xmlns:xlrd2="http://schemas.microsoft.com/office/spreadsheetml/2017/richdata2" ref="A2:V28">
    <sortCondition ref="V2:V28"/>
    <sortCondition ref="C2:C28"/>
  </sortState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C34" sqref="C34"/>
    </sheetView>
  </sheetViews>
  <sheetFormatPr defaultRowHeight="15" x14ac:dyDescent="0.25"/>
  <sheetData>
    <row r="1" spans="1:1" x14ac:dyDescent="0.25">
      <c r="A1" s="2" t="s">
        <v>27</v>
      </c>
    </row>
    <row r="2" spans="1:1" x14ac:dyDescent="0.25">
      <c r="A2" s="15" t="s">
        <v>28</v>
      </c>
    </row>
    <row r="3" spans="1:1" x14ac:dyDescent="0.25">
      <c r="A3" s="15" t="s">
        <v>29</v>
      </c>
    </row>
    <row r="4" spans="1:1" x14ac:dyDescent="0.25">
      <c r="A4" s="15"/>
    </row>
    <row r="5" spans="1:1" x14ac:dyDescent="0.25">
      <c r="A5" s="15" t="s">
        <v>30</v>
      </c>
    </row>
    <row r="6" spans="1:1" x14ac:dyDescent="0.25">
      <c r="A6" s="15" t="s">
        <v>31</v>
      </c>
    </row>
    <row r="7" spans="1:1" x14ac:dyDescent="0.25">
      <c r="A7" s="15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C4913A9814734687F604BE9CA5F943" ma:contentTypeVersion="0" ma:contentTypeDescription="Create a new document." ma:contentTypeScope="" ma:versionID="0c203699497b4bd7ae349485f7d31fb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f67fb229cb6324ae91799e5792f20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1C044F-4F1F-4391-9AC5-776EDC400B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98E00A4-4EA1-4EA2-B2FB-D5AAF18F41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2B96399-DBB7-4C03-B8AF-7D7093D324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2021-04-26T02:24:00Z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0x010100C8C4913A9814734687F604BE9CA5F943</vt:lpwstr>
  </property>
</Properties>
</file>